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BEYA\Downloads\"/>
    </mc:Choice>
  </mc:AlternateContent>
  <xr:revisionPtr revIDLastSave="0" documentId="13_ncr:1_{9F061D1C-F7C6-47BF-99BA-7E8235181AEB}" xr6:coauthVersionLast="47" xr6:coauthVersionMax="47" xr10:uidLastSave="{00000000-0000-0000-0000-000000000000}"/>
  <bookViews>
    <workbookView xWindow="5760" yWindow="-21720" windowWidth="51840" windowHeight="21120" xr2:uid="{2A045449-80F6-4E30-AEC0-43BB4A675749}"/>
  </bookViews>
  <sheets>
    <sheet name="Pop_Stats_Summary" sheetId="1" r:id="rId1"/>
    <sheet name="State Summary" sheetId="4" r:id="rId2"/>
  </sheets>
  <definedNames>
    <definedName name="_xlcn.WorksheetConnection_ssd_2023_population_estimates_data.xlsxTable2" hidden="1">Table2[]</definedName>
  </definedName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" name="Table2" connection="WorksheetConnection_ssd_2023_population_estimates_data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5E91A2-F5D4-4224-935A-4D02F787FF2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91EE950-5E80-4B52-AEC3-E886E7B5E217}" name="WorksheetConnection_ssd_2023_population_estimates_data.xlsx!Table2" type="102" refreshedVersion="8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ssd_2023_population_estimates_data.xlsxTable2"/>
        </x15:connection>
      </ext>
    </extLst>
  </connection>
</connections>
</file>

<file path=xl/sharedStrings.xml><?xml version="1.0" encoding="utf-8"?>
<sst xmlns="http://schemas.openxmlformats.org/spreadsheetml/2006/main" count="357" uniqueCount="208">
  <si>
    <t>Abyei Administrative Area</t>
  </si>
  <si>
    <t>Central Equatoria</t>
  </si>
  <si>
    <t>Juba</t>
  </si>
  <si>
    <t>Kajo-keji</t>
  </si>
  <si>
    <t>Lainya</t>
  </si>
  <si>
    <t>Morobo</t>
  </si>
  <si>
    <t>Terekeka</t>
  </si>
  <si>
    <t>Yei</t>
  </si>
  <si>
    <t>Eastern Equatoria</t>
  </si>
  <si>
    <t>Budi</t>
  </si>
  <si>
    <t>Ikotos</t>
  </si>
  <si>
    <t>Kapoeta East</t>
  </si>
  <si>
    <t>Kapoeta North</t>
  </si>
  <si>
    <t>Kapoeta South</t>
  </si>
  <si>
    <t>Magwi</t>
  </si>
  <si>
    <t>Grand Total</t>
  </si>
  <si>
    <t>Torit</t>
  </si>
  <si>
    <t>Jonglei</t>
  </si>
  <si>
    <t>Akobo</t>
  </si>
  <si>
    <t>Ayod</t>
  </si>
  <si>
    <t>Bor South</t>
  </si>
  <si>
    <t>Duk</t>
  </si>
  <si>
    <t>Lakes</t>
  </si>
  <si>
    <t>Nyirol</t>
  </si>
  <si>
    <t>Northern Bahr el Ghazal</t>
  </si>
  <si>
    <t>Pibor</t>
  </si>
  <si>
    <t>Unity</t>
  </si>
  <si>
    <t>Pochalla</t>
  </si>
  <si>
    <t>Upper Nile</t>
  </si>
  <si>
    <t>Twic East</t>
  </si>
  <si>
    <t>Warrap</t>
  </si>
  <si>
    <t>Uror</t>
  </si>
  <si>
    <t>Western Bahr el Ghazal</t>
  </si>
  <si>
    <t>Awerial</t>
  </si>
  <si>
    <t>Western Equatoria</t>
  </si>
  <si>
    <t>Cueibet</t>
  </si>
  <si>
    <t>Rumbek Centre</t>
  </si>
  <si>
    <t>Rumbek East</t>
  </si>
  <si>
    <t>Rumbek North</t>
  </si>
  <si>
    <t>Wulu</t>
  </si>
  <si>
    <t>Yirol East</t>
  </si>
  <si>
    <t>Yirol West</t>
  </si>
  <si>
    <t>Aweil Centre</t>
  </si>
  <si>
    <t>Aweil East</t>
  </si>
  <si>
    <t>Aweil North</t>
  </si>
  <si>
    <t>Aweil South</t>
  </si>
  <si>
    <t>Aweil West</t>
  </si>
  <si>
    <t>Abiemnhom</t>
  </si>
  <si>
    <t>Guit</t>
  </si>
  <si>
    <t>Koch</t>
  </si>
  <si>
    <t>Leer</t>
  </si>
  <si>
    <t>Mayendit</t>
  </si>
  <si>
    <t>Mayom</t>
  </si>
  <si>
    <t>Panyijiar</t>
  </si>
  <si>
    <t>Pariang</t>
  </si>
  <si>
    <t>Rubkona</t>
  </si>
  <si>
    <t>Baliet</t>
  </si>
  <si>
    <t>Fashoda</t>
  </si>
  <si>
    <t>Longochuk</t>
  </si>
  <si>
    <t>Luakpiny/Nasir</t>
  </si>
  <si>
    <t>Maban</t>
  </si>
  <si>
    <t>Maiwut</t>
  </si>
  <si>
    <t>Malakal</t>
  </si>
  <si>
    <t>Manyo</t>
  </si>
  <si>
    <t>Melut</t>
  </si>
  <si>
    <t>Panyikang</t>
  </si>
  <si>
    <t>Renk</t>
  </si>
  <si>
    <t>Ulang</t>
  </si>
  <si>
    <t>Gogrial East</t>
  </si>
  <si>
    <t>Gogrial West</t>
  </si>
  <si>
    <t>Tonj East</t>
  </si>
  <si>
    <t>Tonj North</t>
  </si>
  <si>
    <t>Tonj South</t>
  </si>
  <si>
    <t>Twic</t>
  </si>
  <si>
    <t>Jur River</t>
  </si>
  <si>
    <t>Raja</t>
  </si>
  <si>
    <t>Wau</t>
  </si>
  <si>
    <t>Ezo</t>
  </si>
  <si>
    <t>Ibba</t>
  </si>
  <si>
    <t>Maridi</t>
  </si>
  <si>
    <t>Mundri East</t>
  </si>
  <si>
    <t>Mundri West</t>
  </si>
  <si>
    <t>Mvolo</t>
  </si>
  <si>
    <t>Nagero</t>
  </si>
  <si>
    <t>Nzara</t>
  </si>
  <si>
    <t>Tambura</t>
  </si>
  <si>
    <t>Yambio</t>
  </si>
  <si>
    <t>SS0101</t>
  </si>
  <si>
    <t>SS01</t>
  </si>
  <si>
    <t>SS0102</t>
  </si>
  <si>
    <t>SS0103</t>
  </si>
  <si>
    <t>SS0104</t>
  </si>
  <si>
    <t>SS0105</t>
  </si>
  <si>
    <t>SS0106</t>
  </si>
  <si>
    <t>SS0201</t>
  </si>
  <si>
    <t>SS02</t>
  </si>
  <si>
    <t>SS0202</t>
  </si>
  <si>
    <t>SS0203</t>
  </si>
  <si>
    <t>SS0204</t>
  </si>
  <si>
    <t>SS0205</t>
  </si>
  <si>
    <t>SS0206</t>
  </si>
  <si>
    <t>SS0207</t>
  </si>
  <si>
    <t>SS0208</t>
  </si>
  <si>
    <t>SS0301</t>
  </si>
  <si>
    <t>SS03</t>
  </si>
  <si>
    <t>SS0302</t>
  </si>
  <si>
    <t>SS0303</t>
  </si>
  <si>
    <t>SS0304</t>
  </si>
  <si>
    <t>SS0305</t>
  </si>
  <si>
    <t>SS0306</t>
  </si>
  <si>
    <t>SS0307</t>
  </si>
  <si>
    <t>SS0308</t>
  </si>
  <si>
    <t>SS0309</t>
  </si>
  <si>
    <t>SS0310</t>
  </si>
  <si>
    <t>SS0311</t>
  </si>
  <si>
    <t>SS0401</t>
  </si>
  <si>
    <t>SS04</t>
  </si>
  <si>
    <t>SS0402</t>
  </si>
  <si>
    <t>SS0403</t>
  </si>
  <si>
    <t>SS0404</t>
  </si>
  <si>
    <t>SS0405</t>
  </si>
  <si>
    <t>SS0406</t>
  </si>
  <si>
    <t>SS0407</t>
  </si>
  <si>
    <t>SS0408</t>
  </si>
  <si>
    <t>SS0501</t>
  </si>
  <si>
    <t>SS05</t>
  </si>
  <si>
    <t>SS0502</t>
  </si>
  <si>
    <t>SS0503</t>
  </si>
  <si>
    <t>SS0504</t>
  </si>
  <si>
    <t>SS0505</t>
  </si>
  <si>
    <t>SS0601</t>
  </si>
  <si>
    <t>SS06</t>
  </si>
  <si>
    <t>SS0602</t>
  </si>
  <si>
    <t>SS0603</t>
  </si>
  <si>
    <t>SS0604</t>
  </si>
  <si>
    <t>SS0605</t>
  </si>
  <si>
    <t>SS0606</t>
  </si>
  <si>
    <t>SS0607</t>
  </si>
  <si>
    <t>SS0608</t>
  </si>
  <si>
    <t>SS0609</t>
  </si>
  <si>
    <t>SS0701</t>
  </si>
  <si>
    <t>SS07</t>
  </si>
  <si>
    <t>SS0702</t>
  </si>
  <si>
    <t>SS0703</t>
  </si>
  <si>
    <t>SS0704</t>
  </si>
  <si>
    <t>SS0705</t>
  </si>
  <si>
    <t>SS0706</t>
  </si>
  <si>
    <t>SS0707</t>
  </si>
  <si>
    <t>SS0708</t>
  </si>
  <si>
    <t>SS0709</t>
  </si>
  <si>
    <t>SS0710</t>
  </si>
  <si>
    <t>SS0711</t>
  </si>
  <si>
    <t>SS0712</t>
  </si>
  <si>
    <t>SS0801</t>
  </si>
  <si>
    <t>SS08</t>
  </si>
  <si>
    <t>SS0802</t>
  </si>
  <si>
    <t>SS0803</t>
  </si>
  <si>
    <t>SS0804</t>
  </si>
  <si>
    <t>SS0805</t>
  </si>
  <si>
    <t>SS0806</t>
  </si>
  <si>
    <t>SS0001</t>
  </si>
  <si>
    <t>SS00</t>
  </si>
  <si>
    <t>SS0901</t>
  </si>
  <si>
    <t>SS09</t>
  </si>
  <si>
    <t>SS0902</t>
  </si>
  <si>
    <t>SS0903</t>
  </si>
  <si>
    <t>SS1001</t>
  </si>
  <si>
    <t>SS10</t>
  </si>
  <si>
    <t>SS1002</t>
  </si>
  <si>
    <t>SS1003</t>
  </si>
  <si>
    <t>SS1004</t>
  </si>
  <si>
    <t>SS1005</t>
  </si>
  <si>
    <t>SS1006</t>
  </si>
  <si>
    <t>SS1007</t>
  </si>
  <si>
    <t>SS1008</t>
  </si>
  <si>
    <t>SS1009</t>
  </si>
  <si>
    <t>SS1010</t>
  </si>
  <si>
    <t>Admin1_Pcode</t>
  </si>
  <si>
    <t>Admin2_Pcode</t>
  </si>
  <si>
    <t>Lafon/Lopa</t>
  </si>
  <si>
    <t>Pigi</t>
  </si>
  <si>
    <t>Admin1</t>
  </si>
  <si>
    <t>Admin2</t>
  </si>
  <si>
    <t>Lafon</t>
  </si>
  <si>
    <t>Canal/Pigi</t>
  </si>
  <si>
    <t>Raga</t>
  </si>
  <si>
    <t>Admin2_Alternate_Name</t>
  </si>
  <si>
    <t>Fangak</t>
  </si>
  <si>
    <t>Old Fangak</t>
  </si>
  <si>
    <t>Population - 2025</t>
  </si>
  <si>
    <t>Sum of Population - 2025</t>
  </si>
  <si>
    <t>State</t>
  </si>
  <si>
    <t>% Male children
 under 5</t>
  </si>
  <si>
    <t>No. of Male
children under 5</t>
  </si>
  <si>
    <t>% Female
children under 5</t>
  </si>
  <si>
    <t>No. of Female
children under 5</t>
  </si>
  <si>
    <t>% Male children 
aged 5 - 17 years</t>
  </si>
  <si>
    <t>No. of Male children 
aged 5 - 17 years</t>
  </si>
  <si>
    <t>% Female children 
aged 5 - 17 years</t>
  </si>
  <si>
    <t>No. of Female 
children aged 5 - 17 years</t>
  </si>
  <si>
    <t>% Male adults 
aged 18 - 60</t>
  </si>
  <si>
    <t>No. of  Male 
adults aged 18 - 60</t>
  </si>
  <si>
    <t>% Female adults 
aged 18 - 60</t>
  </si>
  <si>
    <t>No. of Female 
adults aged 18 - 60</t>
  </si>
  <si>
    <t>% Male adults 
aged over 60</t>
  </si>
  <si>
    <t>No. of Male adults 
aged over 60</t>
  </si>
  <si>
    <t>% Female adults 
aged over 60</t>
  </si>
  <si>
    <t>No. Female adults 
aged over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</si>
</sst>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6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164" fontId="0" fillId="0" borderId="0" xfId="1" applyNumberFormat="1" applyFont="1"/>
    <xf numFmtId="164" fontId="0" fillId="0" borderId="0" xfId="0" applyNumberForma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/>
    <xf numFmtId="166" fontId="4" fillId="2" borderId="0" xfId="1" applyNumberFormat="1" applyFont="1" applyFill="1" applyAlignment="1">
      <alignment horizontal="center" vertical="center" wrapText="1"/>
    </xf>
    <xf numFmtId="9" fontId="0" fillId="0" borderId="0" xfId="2" applyFont="1"/>
    <xf numFmtId="9" fontId="2" fillId="0" borderId="0" xfId="2" applyFont="1"/>
    <xf numFmtId="164" fontId="2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3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6" formatCode="_(* #,##0_);_(* \(#,##0\);_(* &quot;-&quot;??_);_(@_)"/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seph Ad Abeya" refreshedDate="45645.409794097221" backgroundQuery="1" createdVersion="8" refreshedVersion="8" minRefreshableVersion="3" recordCount="0" supportSubquery="1" supportAdvancedDrill="1" xr:uid="{145A1852-DE40-49A5-B93A-378F4023B7DC}">
  <cacheSource type="external" connectionId="1"/>
  <cacheFields count="2">
    <cacheField name="[Measures].[Sum of Population - 2025]" caption="Sum of Population - 2025" numFmtId="0" hierarchy="8" level="32767"/>
    <cacheField name="[Table2].[Admin1].[Admin1]" caption="Admin1" numFmtId="0" level="1">
      <sharedItems count="11">
        <s v="Abyei Administrative Area"/>
        <s v="Central Equatoria"/>
        <s v="Eastern Equatoria"/>
        <s v="Jonglei"/>
        <s v="Lakes"/>
        <s v="Northern Bahr el Ghazal"/>
        <s v="Unity"/>
        <s v="Upper Nile"/>
        <s v="Warrap"/>
        <s v="Western Bahr el Ghazal"/>
        <s v="Western Equatoria"/>
      </sharedItems>
    </cacheField>
  </cacheFields>
  <cacheHierarchies count="9">
    <cacheHierarchy uniqueName="[Table2].[Admin1]" caption="Admin1" attribute="1" defaultMemberUniqueName="[Table2].[Admin1].[All]" allUniqueName="[Table2].[Admin1].[All]" dimensionUniqueName="[Table2]" displayFolder="" count="2" memberValueDatatype="130" unbalanced="0">
      <fieldsUsage count="2">
        <fieldUsage x="-1"/>
        <fieldUsage x="1"/>
      </fieldsUsage>
    </cacheHierarchy>
    <cacheHierarchy uniqueName="[Table2].[Admin1_Pcode]" caption="Admin1_Pcode" attribute="1" defaultMemberUniqueName="[Table2].[Admin1_Pcode].[All]" allUniqueName="[Table2].[Admin1_Pcode].[All]" dimensionUniqueName="[Table2]" displayFolder="" count="0" memberValueDatatype="130" unbalanced="0"/>
    <cacheHierarchy uniqueName="[Table2].[Admin2]" caption="Admin2" attribute="1" defaultMemberUniqueName="[Table2].[Admin2].[All]" allUniqueName="[Table2].[Admin2].[All]" dimensionUniqueName="[Table2]" displayFolder="" count="0" memberValueDatatype="130" unbalanced="0"/>
    <cacheHierarchy uniqueName="[Table2].[Admin2_Alternate_Name]" caption="Admin2_Alternate_Name" attribute="1" defaultMemberUniqueName="[Table2].[Admin2_Alternate_Name].[All]" allUniqueName="[Table2].[Admin2_Alternate_Name].[All]" dimensionUniqueName="[Table2]" displayFolder="" count="0" memberValueDatatype="130" unbalanced="0"/>
    <cacheHierarchy uniqueName="[Table2].[Admin2_Pcode]" caption="Admin2_Pcode" attribute="1" defaultMemberUniqueName="[Table2].[Admin2_Pcode].[All]" allUniqueName="[Table2].[Admin2_Pcode].[All]" dimensionUniqueName="[Table2]" displayFolder="" count="0" memberValueDatatype="130" unbalanced="0"/>
    <cacheHierarchy uniqueName="[Table2].[Population - 2025]" caption="Population - 2025" attribute="1" defaultMemberUniqueName="[Table2].[Population - 2025].[All]" allUniqueName="[Table2].[Population - 2025].[All]" dimensionUniqueName="[Table2]" displayFolder="" count="0" memberValueDatatype="5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Population - 2025]" caption="Sum of Population - 2025" measure="1" displayFolder="" measureGroup="Table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2D6403-98B9-45B2-89A0-7126C4C0FE3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">
  <location ref="A3:B15" firstHeaderRow="1" firstDataRow="1" firstDataCol="1"/>
  <pivotFields count="2">
    <pivotField dataField="1" subtotalTop="0" showAll="0" defaultSubtotal="0"/>
    <pivotField axis="axisRow" allDrilled="1" showAll="0" dataSourceSort="1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Population - 2025" fld="0" baseField="0" baseItem="0"/>
  </dataFields>
  <formats count="14">
    <format dxfId="31">
      <pivotArea collapsedLevelsAreSubtotals="1" fieldPosition="0">
        <references count="1">
          <reference field="1" count="0"/>
        </references>
      </pivotArea>
    </format>
    <format dxfId="30">
      <pivotArea grandRow="1" outline="0" collapsedLevelsAreSubtotals="1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" type="button" dataOnly="0" labelOnly="1" outline="0" axis="axisRow" fieldPosition="0"/>
    </format>
    <format dxfId="26">
      <pivotArea dataOnly="0" labelOnly="1" fieldPosition="0">
        <references count="1">
          <reference field="1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pivotHierarchies count="9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sd_2023_population_estimates_data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81486C-4EFC-40D2-A642-EC490E941C80}" name="Table2" displayName="Table2" ref="A1:F81" totalsRowCount="1" headerRowDxfId="38">
  <autoFilter ref="A1:F80" xr:uid="{8DAD5FB8-1755-41C0-880C-4953BFECA584}"/>
  <sortState xmlns:xlrd2="http://schemas.microsoft.com/office/spreadsheetml/2017/richdata2" ref="A2:F80">
    <sortCondition ref="A1:A80"/>
  </sortState>
  <tableColumns count="6">
    <tableColumn id="1" xr3:uid="{C26C22AC-3CB0-4ED5-8C4E-879C4A3A4FD5}" name="Admin1" dataDxfId="37"/>
    <tableColumn id="4" xr3:uid="{04FD7262-5B9C-4DBB-A38E-9C558C402D02}" name="Admin1_Pcode" dataDxfId="36"/>
    <tableColumn id="2" xr3:uid="{FB61F091-5DAE-4310-8971-047F066BAAA4}" name="Admin2"/>
    <tableColumn id="6" xr3:uid="{2BF23C3A-5564-4004-9711-B74E9D0E405C}" name="Admin2_Alternate_Name" dataDxfId="35"/>
    <tableColumn id="5" xr3:uid="{D407B6FB-966D-4AFC-B308-EB46D1F6A588}" name="Admin2_Pcode" dataDxfId="34"/>
    <tableColumn id="7" xr3:uid="{B14BA88C-0CD9-4B4D-99E2-C59EEE3CDDF8}" name="Population - 2025" totalsRowFunction="custom" dataDxfId="33" totalsRowDxfId="32" dataCellStyle="Comma">
      <totalsRowFormula>SUM(Table2[Population - 2025])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5B3E34-F358-46A7-A18F-F9BF32D089A1}" name="Table3" displayName="Table3" ref="G1:V81" totalsRowShown="0" headerRowDxfId="0" dataDxfId="1" headerRowCellStyle="Comma" dataCellStyle="Comma">
  <autoFilter ref="G1:V81" xr:uid="{E65B3E34-F358-46A7-A18F-F9BF32D089A1}"/>
  <tableColumns count="16">
    <tableColumn id="1" xr3:uid="{5B3C9377-7FB4-47B0-9187-EB95132A574D}" name="% Male children_x000a_ under 5" dataDxfId="17" dataCellStyle="Percent"/>
    <tableColumn id="2" xr3:uid="{9A0C1B24-B8E8-4D35-9BD1-B100A749298D}" name="No. of Male_x000a_children under 5" dataDxfId="16" dataCellStyle="Comma"/>
    <tableColumn id="3" xr3:uid="{BAB1503A-6738-4B23-998C-3D833088239F}" name="% Female_x000a_children under 5" dataDxfId="15" dataCellStyle="Percent"/>
    <tableColumn id="4" xr3:uid="{65320806-D2B1-4AB1-9632-1EB7AF94FB43}" name="No. of Female_x000a_children under 5" dataDxfId="14" dataCellStyle="Comma"/>
    <tableColumn id="5" xr3:uid="{B9C8D517-55CB-44F2-9E3F-19E18A5A7521}" name="% Male children _x000a_aged 5 - 17 years" dataDxfId="13" dataCellStyle="Percent"/>
    <tableColumn id="6" xr3:uid="{D10FBB14-E5A9-44F0-AF19-328ADD3039EA}" name="No. of Male children _x000a_aged 5 - 17 years" dataDxfId="12" dataCellStyle="Comma"/>
    <tableColumn id="7" xr3:uid="{574841ED-F08D-4617-AFA4-4087B352625E}" name="% Female children _x000a_aged 5 - 17 years" dataDxfId="11" dataCellStyle="Percent"/>
    <tableColumn id="8" xr3:uid="{ED7D0204-C8F3-4B06-91CD-4D7B866517B0}" name="No. of Female _x000a_children aged 5 - 17 years" dataDxfId="10" dataCellStyle="Comma"/>
    <tableColumn id="9" xr3:uid="{792D791D-7EB0-4690-8E12-7A87FDB4301A}" name="% Male adults _x000a_aged 18 - 60" dataDxfId="9" dataCellStyle="Percent"/>
    <tableColumn id="10" xr3:uid="{3A7F313E-37E1-4339-9D79-AF09C84EB469}" name="No. of  Male _x000a_adults aged 18 - 60" dataDxfId="8" dataCellStyle="Comma"/>
    <tableColumn id="11" xr3:uid="{4E8A43EC-E094-4C05-AC59-A64CE92B9CA7}" name="% Female adults _x000a_aged 18 - 60" dataDxfId="7" dataCellStyle="Percent"/>
    <tableColumn id="12" xr3:uid="{CA0E017A-BE51-4524-A8AE-93A0A0138ADA}" name="No. of Female _x000a_adults aged 18 - 60" dataDxfId="6" dataCellStyle="Comma"/>
    <tableColumn id="13" xr3:uid="{98C15A04-E529-4673-A2A4-7531792EC75E}" name="% Male adults _x000a_aged over 60" dataDxfId="5" dataCellStyle="Percent"/>
    <tableColumn id="14" xr3:uid="{CD4FD4F7-C728-4850-8811-CD598F6FB6E4}" name="No. of Male adults _x000a_aged over 60" dataDxfId="4" dataCellStyle="Comma"/>
    <tableColumn id="15" xr3:uid="{F06A30FB-7649-4CF4-9392-3E2C8466FD72}" name="% Female adults _x000a_aged over 60" dataDxfId="3" dataCellStyle="Percent"/>
    <tableColumn id="16" xr3:uid="{7A5DD0E6-7B24-47A6-987F-AAE6CF3FD68F}" name="No. Female adults _x000a_aged over 60" dataDxfId="2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541F9-90D2-427A-A9CD-47643B5810C1}">
  <sheetPr>
    <pageSetUpPr fitToPage="1"/>
  </sheetPr>
  <dimension ref="A1:V82"/>
  <sheetViews>
    <sheetView tabSelected="1" zoomScaleNormal="100" workbookViewId="0">
      <selection activeCell="H20" sqref="H20"/>
    </sheetView>
  </sheetViews>
  <sheetFormatPr defaultColWidth="8.7890625" defaultRowHeight="14.4" x14ac:dyDescent="0.55000000000000004"/>
  <cols>
    <col min="1" max="1" width="22.68359375" bestFit="1" customWidth="1"/>
    <col min="2" max="2" width="15.41796875" bestFit="1" customWidth="1"/>
    <col min="3" max="3" width="22.68359375" customWidth="1"/>
    <col min="4" max="4" width="23.68359375" bestFit="1" customWidth="1"/>
    <col min="5" max="5" width="15.41796875" customWidth="1"/>
    <col min="6" max="6" width="17.3125" customWidth="1"/>
    <col min="7" max="7" width="19" bestFit="1" customWidth="1"/>
    <col min="8" max="10" width="18.734375" bestFit="1" customWidth="1"/>
    <col min="11" max="11" width="19" customWidth="1"/>
    <col min="12" max="12" width="22.68359375" customWidth="1"/>
    <col min="13" max="13" width="21" customWidth="1"/>
    <col min="14" max="14" width="26.1015625" customWidth="1"/>
    <col min="15" max="15" width="17.3125" bestFit="1" customWidth="1"/>
    <col min="16" max="16" width="20.47265625" bestFit="1" customWidth="1"/>
    <col min="17" max="17" width="19.15625" bestFit="1" customWidth="1"/>
    <col min="18" max="18" width="20.47265625" bestFit="1" customWidth="1"/>
    <col min="19" max="19" width="17.3125" bestFit="1" customWidth="1"/>
    <col min="20" max="20" width="21" bestFit="1" customWidth="1"/>
    <col min="21" max="21" width="19.15625" bestFit="1" customWidth="1"/>
    <col min="22" max="22" width="20.734375" bestFit="1" customWidth="1"/>
  </cols>
  <sheetData>
    <row r="1" spans="1:22" ht="28.8" x14ac:dyDescent="0.55000000000000004">
      <c r="A1" s="1" t="s">
        <v>181</v>
      </c>
      <c r="B1" s="1" t="s">
        <v>177</v>
      </c>
      <c r="C1" s="1" t="s">
        <v>182</v>
      </c>
      <c r="D1" s="1" t="s">
        <v>186</v>
      </c>
      <c r="E1" s="1" t="s">
        <v>178</v>
      </c>
      <c r="F1" s="1" t="s">
        <v>189</v>
      </c>
      <c r="G1" s="8" t="s">
        <v>192</v>
      </c>
      <c r="H1" s="8" t="s">
        <v>193</v>
      </c>
      <c r="I1" s="8" t="s">
        <v>194</v>
      </c>
      <c r="J1" s="8" t="s">
        <v>195</v>
      </c>
      <c r="K1" s="8" t="s">
        <v>196</v>
      </c>
      <c r="L1" s="8" t="s">
        <v>197</v>
      </c>
      <c r="M1" s="8" t="s">
        <v>198</v>
      </c>
      <c r="N1" s="8" t="s">
        <v>199</v>
      </c>
      <c r="O1" s="8" t="s">
        <v>200</v>
      </c>
      <c r="P1" s="8" t="s">
        <v>201</v>
      </c>
      <c r="Q1" s="8" t="s">
        <v>202</v>
      </c>
      <c r="R1" s="8" t="s">
        <v>203</v>
      </c>
      <c r="S1" s="8" t="s">
        <v>204</v>
      </c>
      <c r="T1" s="8" t="s">
        <v>205</v>
      </c>
      <c r="U1" s="8" t="s">
        <v>206</v>
      </c>
      <c r="V1" s="8" t="s">
        <v>207</v>
      </c>
    </row>
    <row r="2" spans="1:22" x14ac:dyDescent="0.55000000000000004">
      <c r="A2" t="s">
        <v>0</v>
      </c>
      <c r="B2" t="s">
        <v>161</v>
      </c>
      <c r="C2" t="s">
        <v>0</v>
      </c>
      <c r="D2" t="s">
        <v>0</v>
      </c>
      <c r="E2" t="s">
        <v>160</v>
      </c>
      <c r="F2" s="2">
        <v>145358</v>
      </c>
      <c r="G2" s="9">
        <v>9.6000000000000002E-2</v>
      </c>
      <c r="H2" s="2">
        <v>13954.368</v>
      </c>
      <c r="I2" s="9">
        <v>8.8999999999999996E-2</v>
      </c>
      <c r="J2" s="2">
        <v>12936.861999999999</v>
      </c>
      <c r="K2" s="9">
        <v>0.17699999999999999</v>
      </c>
      <c r="L2" s="2">
        <v>25728.365999999998</v>
      </c>
      <c r="M2" s="9">
        <v>0.17299999999999999</v>
      </c>
      <c r="N2" s="2">
        <v>25146.933999999997</v>
      </c>
      <c r="O2" s="9">
        <v>0.19</v>
      </c>
      <c r="P2" s="2">
        <v>27618.02</v>
      </c>
      <c r="Q2" s="9">
        <v>0.20200000000000001</v>
      </c>
      <c r="R2" s="2">
        <v>29362.316000000003</v>
      </c>
      <c r="S2" s="9">
        <v>3.4000000000000002E-2</v>
      </c>
      <c r="T2" s="2">
        <v>4942.1720000000005</v>
      </c>
      <c r="U2" s="9">
        <v>3.9E-2</v>
      </c>
      <c r="V2" s="2">
        <v>5668.9620000000004</v>
      </c>
    </row>
    <row r="3" spans="1:22" x14ac:dyDescent="0.55000000000000004">
      <c r="A3" t="s">
        <v>1</v>
      </c>
      <c r="B3" t="s">
        <v>88</v>
      </c>
      <c r="C3" t="s">
        <v>2</v>
      </c>
      <c r="E3" t="s">
        <v>87</v>
      </c>
      <c r="F3" s="2">
        <v>570834.13739099586</v>
      </c>
      <c r="G3" s="9">
        <v>7.3999999999999996E-2</v>
      </c>
      <c r="H3" s="2">
        <v>42241.726166933695</v>
      </c>
      <c r="I3" s="9">
        <v>9.74E-2</v>
      </c>
      <c r="J3" s="2">
        <v>55599.244981882999</v>
      </c>
      <c r="K3" s="9">
        <v>0.154</v>
      </c>
      <c r="L3" s="2">
        <v>87908.457158213365</v>
      </c>
      <c r="M3" s="9">
        <v>0.159</v>
      </c>
      <c r="N3" s="2">
        <v>90762.627845168347</v>
      </c>
      <c r="O3" s="9">
        <v>0.23199999999999998</v>
      </c>
      <c r="P3" s="2">
        <v>132433.51987471103</v>
      </c>
      <c r="Q3" s="9">
        <v>0.24099999999999999</v>
      </c>
      <c r="R3" s="2">
        <v>137571.02711123001</v>
      </c>
      <c r="S3" s="9">
        <v>2.3499999999999997E-2</v>
      </c>
      <c r="T3" s="2">
        <v>13414.602228688402</v>
      </c>
      <c r="U3" s="9">
        <v>1.9099999999999999E-2</v>
      </c>
      <c r="V3" s="2">
        <v>10902.93202416802</v>
      </c>
    </row>
    <row r="4" spans="1:22" x14ac:dyDescent="0.55000000000000004">
      <c r="A4" t="s">
        <v>1</v>
      </c>
      <c r="B4" t="s">
        <v>88</v>
      </c>
      <c r="C4" t="s">
        <v>3</v>
      </c>
      <c r="E4" t="s">
        <v>89</v>
      </c>
      <c r="F4" s="2">
        <v>257989.29882283875</v>
      </c>
      <c r="G4" s="9">
        <v>1.6299999999999999E-2</v>
      </c>
      <c r="H4" s="2">
        <v>4205.2255708122711</v>
      </c>
      <c r="I4" s="9">
        <v>3.0099999999999998E-2</v>
      </c>
      <c r="J4" s="2">
        <v>7765.4778945674461</v>
      </c>
      <c r="K4" s="9">
        <v>5.7500000000000002E-2</v>
      </c>
      <c r="L4" s="2">
        <v>14834.38468231323</v>
      </c>
      <c r="M4" s="9">
        <v>5.8099999999999999E-2</v>
      </c>
      <c r="N4" s="2">
        <v>14989.178261606932</v>
      </c>
      <c r="O4" s="9">
        <v>0.32800000000000001</v>
      </c>
      <c r="P4" s="2">
        <v>84620.490013891118</v>
      </c>
      <c r="Q4" s="9">
        <v>0.32</v>
      </c>
      <c r="R4" s="2">
        <v>82556.57562330841</v>
      </c>
      <c r="S4" s="9">
        <v>0.127</v>
      </c>
      <c r="T4" s="2">
        <v>32764.640950500521</v>
      </c>
      <c r="U4" s="9">
        <v>6.3E-2</v>
      </c>
      <c r="V4" s="2">
        <v>16253.325825838841</v>
      </c>
    </row>
    <row r="5" spans="1:22" x14ac:dyDescent="0.55000000000000004">
      <c r="A5" t="s">
        <v>1</v>
      </c>
      <c r="B5" t="s">
        <v>88</v>
      </c>
      <c r="C5" t="s">
        <v>4</v>
      </c>
      <c r="E5" t="s">
        <v>90</v>
      </c>
      <c r="F5" s="2">
        <v>119155.1016820589</v>
      </c>
      <c r="G5" s="9">
        <v>0.105</v>
      </c>
      <c r="H5" s="2">
        <v>12511.285676616184</v>
      </c>
      <c r="I5" s="9">
        <v>0.10100000000000001</v>
      </c>
      <c r="J5" s="2">
        <v>12034.66526988795</v>
      </c>
      <c r="K5" s="9">
        <v>0.11</v>
      </c>
      <c r="L5" s="2">
        <v>13107.06118502648</v>
      </c>
      <c r="M5" s="9">
        <v>0.104</v>
      </c>
      <c r="N5" s="2">
        <v>12392.130574934125</v>
      </c>
      <c r="O5" s="9">
        <v>0.28600000000000003</v>
      </c>
      <c r="P5" s="2">
        <v>34078.359081068847</v>
      </c>
      <c r="Q5" s="9">
        <v>0.23400000000000001</v>
      </c>
      <c r="R5" s="2">
        <v>27882.293793601784</v>
      </c>
      <c r="S5" s="9">
        <v>2.6999999999999996E-2</v>
      </c>
      <c r="T5" s="2">
        <v>3217.1877454155897</v>
      </c>
      <c r="U5" s="9">
        <v>3.3000000000000002E-2</v>
      </c>
      <c r="V5" s="2">
        <v>3932.1183555079438</v>
      </c>
    </row>
    <row r="6" spans="1:22" x14ac:dyDescent="0.55000000000000004">
      <c r="A6" t="s">
        <v>1</v>
      </c>
      <c r="B6" t="s">
        <v>88</v>
      </c>
      <c r="C6" t="s">
        <v>5</v>
      </c>
      <c r="E6" t="s">
        <v>91</v>
      </c>
      <c r="F6" s="2">
        <v>136696.6297490318</v>
      </c>
      <c r="G6" s="9">
        <v>8.1500000000000003E-2</v>
      </c>
      <c r="H6" s="2">
        <v>11140.775324546092</v>
      </c>
      <c r="I6" s="9">
        <v>0.105</v>
      </c>
      <c r="J6" s="2">
        <v>14353.146123648337</v>
      </c>
      <c r="K6" s="9">
        <v>0.17800000000000002</v>
      </c>
      <c r="L6" s="2">
        <v>24332.000095327661</v>
      </c>
      <c r="M6" s="9">
        <v>0.16300000000000001</v>
      </c>
      <c r="N6" s="2">
        <v>22281.550649092183</v>
      </c>
      <c r="O6" s="9">
        <v>0.21799999999999997</v>
      </c>
      <c r="P6" s="2">
        <v>29799.865285288928</v>
      </c>
      <c r="Q6" s="9">
        <v>0.20300000000000001</v>
      </c>
      <c r="R6" s="2">
        <v>27749.415839053458</v>
      </c>
      <c r="S6" s="9">
        <v>3.2600000000000004E-2</v>
      </c>
      <c r="T6" s="2">
        <v>4456.3101298184374</v>
      </c>
      <c r="U6" s="9">
        <v>1.89E-2</v>
      </c>
      <c r="V6" s="2">
        <v>2583.566302256701</v>
      </c>
    </row>
    <row r="7" spans="1:22" x14ac:dyDescent="0.55000000000000004">
      <c r="A7" t="s">
        <v>1</v>
      </c>
      <c r="B7" t="s">
        <v>88</v>
      </c>
      <c r="C7" t="s">
        <v>6</v>
      </c>
      <c r="E7" t="s">
        <v>92</v>
      </c>
      <c r="F7" s="2">
        <v>266692.85729864676</v>
      </c>
      <c r="G7" s="9">
        <v>8.8499999999999995E-2</v>
      </c>
      <c r="H7" s="2">
        <v>23602.317870930237</v>
      </c>
      <c r="I7" s="9">
        <v>8.3099999999999993E-2</v>
      </c>
      <c r="J7" s="2">
        <v>22162.176441517546</v>
      </c>
      <c r="K7" s="9">
        <v>0.18099999999999997</v>
      </c>
      <c r="L7" s="2">
        <v>48271.407171055056</v>
      </c>
      <c r="M7" s="9">
        <v>0.16400000000000001</v>
      </c>
      <c r="N7" s="2">
        <v>43737.628596978073</v>
      </c>
      <c r="O7" s="9">
        <v>0.19339999999999999</v>
      </c>
      <c r="P7" s="2">
        <v>51578.398601558278</v>
      </c>
      <c r="Q7" s="9">
        <v>0.23100000000000001</v>
      </c>
      <c r="R7" s="2">
        <v>61606.050035987406</v>
      </c>
      <c r="S7" s="9">
        <v>1.8599999999999998E-2</v>
      </c>
      <c r="T7" s="2">
        <v>4960.4871457548297</v>
      </c>
      <c r="U7" s="9">
        <v>4.0399999999999998E-2</v>
      </c>
      <c r="V7" s="2">
        <v>10774.391434865329</v>
      </c>
    </row>
    <row r="8" spans="1:22" x14ac:dyDescent="0.55000000000000004">
      <c r="A8" t="s">
        <v>1</v>
      </c>
      <c r="B8" t="s">
        <v>88</v>
      </c>
      <c r="C8" t="s">
        <v>7</v>
      </c>
      <c r="E8" t="s">
        <v>93</v>
      </c>
      <c r="F8" s="2">
        <v>327601.72713417624</v>
      </c>
      <c r="G8" s="9">
        <v>9.3799999999999994E-2</v>
      </c>
      <c r="H8" s="2">
        <v>30729.042005185729</v>
      </c>
      <c r="I8" s="9">
        <v>0.122</v>
      </c>
      <c r="J8" s="2">
        <v>39967.410710369499</v>
      </c>
      <c r="K8" s="9">
        <v>0.14600000000000002</v>
      </c>
      <c r="L8" s="2">
        <v>47829.852161589733</v>
      </c>
      <c r="M8" s="9">
        <v>0.189</v>
      </c>
      <c r="N8" s="2">
        <v>61916.72642835931</v>
      </c>
      <c r="O8" s="9">
        <v>0.17399999999999999</v>
      </c>
      <c r="P8" s="2">
        <v>57002.700521346662</v>
      </c>
      <c r="Q8" s="9">
        <v>0.193</v>
      </c>
      <c r="R8" s="2">
        <v>63227.133336896019</v>
      </c>
      <c r="S8" s="9">
        <v>5.3199999999999997E-2</v>
      </c>
      <c r="T8" s="2">
        <v>17428.411883538174</v>
      </c>
      <c r="U8" s="9">
        <v>2.9000000000000001E-2</v>
      </c>
      <c r="V8" s="2">
        <v>9500.4500868911109</v>
      </c>
    </row>
    <row r="9" spans="1:22" x14ac:dyDescent="0.55000000000000004">
      <c r="A9" t="s">
        <v>8</v>
      </c>
      <c r="B9" t="s">
        <v>95</v>
      </c>
      <c r="C9" t="s">
        <v>9</v>
      </c>
      <c r="E9" t="s">
        <v>94</v>
      </c>
      <c r="F9" s="2">
        <v>108473.79633665689</v>
      </c>
      <c r="G9" s="9">
        <v>0.1036</v>
      </c>
      <c r="H9" s="2">
        <v>11237.885300477654</v>
      </c>
      <c r="I9" s="9">
        <v>9.7799999999999998E-2</v>
      </c>
      <c r="J9" s="2">
        <v>10608.737281725043</v>
      </c>
      <c r="K9" s="9">
        <v>0.189</v>
      </c>
      <c r="L9" s="2">
        <v>20501.547507628151</v>
      </c>
      <c r="M9" s="9">
        <v>0.17299999999999999</v>
      </c>
      <c r="N9" s="2">
        <v>18765.96676624164</v>
      </c>
      <c r="O9" s="9">
        <v>0.16</v>
      </c>
      <c r="P9" s="2">
        <v>17355.807413865103</v>
      </c>
      <c r="Q9" s="9">
        <v>0.22</v>
      </c>
      <c r="R9" s="2">
        <v>23864.235194064517</v>
      </c>
      <c r="S9" s="9">
        <v>1.8099999999999998E-2</v>
      </c>
      <c r="T9" s="2">
        <v>1963.3757136934894</v>
      </c>
      <c r="U9" s="9">
        <v>3.85E-2</v>
      </c>
      <c r="V9" s="2">
        <v>4176.2411589612902</v>
      </c>
    </row>
    <row r="10" spans="1:22" x14ac:dyDescent="0.55000000000000004">
      <c r="A10" t="s">
        <v>8</v>
      </c>
      <c r="B10" t="s">
        <v>95</v>
      </c>
      <c r="C10" t="s">
        <v>10</v>
      </c>
      <c r="E10" t="s">
        <v>96</v>
      </c>
      <c r="F10" s="2">
        <v>111147.89764864207</v>
      </c>
      <c r="G10" s="9">
        <v>0.11609999999999999</v>
      </c>
      <c r="H10" s="2">
        <v>12904.270917007345</v>
      </c>
      <c r="I10" s="9">
        <v>0.105</v>
      </c>
      <c r="J10" s="2">
        <v>11670.529253107417</v>
      </c>
      <c r="K10" s="9">
        <v>0.158</v>
      </c>
      <c r="L10" s="2">
        <v>17561.367828485447</v>
      </c>
      <c r="M10" s="9">
        <v>0.156</v>
      </c>
      <c r="N10" s="2">
        <v>17339.072033188164</v>
      </c>
      <c r="O10" s="9">
        <v>0.17100000000000001</v>
      </c>
      <c r="P10" s="2">
        <v>19006.290497917795</v>
      </c>
      <c r="Q10" s="9">
        <v>0.218</v>
      </c>
      <c r="R10" s="2">
        <v>24230.24168740397</v>
      </c>
      <c r="S10" s="9">
        <v>2.7799999999999998E-2</v>
      </c>
      <c r="T10" s="2">
        <v>3089.9115546322496</v>
      </c>
      <c r="U10" s="9">
        <v>4.8099999999999997E-2</v>
      </c>
      <c r="V10" s="2">
        <v>5346.2138768996838</v>
      </c>
    </row>
    <row r="11" spans="1:22" x14ac:dyDescent="0.55000000000000004">
      <c r="A11" t="s">
        <v>8</v>
      </c>
      <c r="B11" t="s">
        <v>95</v>
      </c>
      <c r="C11" t="s">
        <v>11</v>
      </c>
      <c r="E11" t="s">
        <v>97</v>
      </c>
      <c r="F11" s="2">
        <v>175077.84063451004</v>
      </c>
      <c r="G11" s="9">
        <v>0.13200000000000001</v>
      </c>
      <c r="H11" s="2">
        <v>23110.274963755324</v>
      </c>
      <c r="I11" s="9">
        <v>8.7099999999999997E-2</v>
      </c>
      <c r="J11" s="2">
        <v>15249.279919265824</v>
      </c>
      <c r="K11" s="9">
        <v>0.1716</v>
      </c>
      <c r="L11" s="2">
        <v>30043.357452881923</v>
      </c>
      <c r="M11" s="9">
        <v>0.17</v>
      </c>
      <c r="N11" s="2">
        <v>29763.23290786671</v>
      </c>
      <c r="O11" s="9">
        <v>0.19300000000000003</v>
      </c>
      <c r="P11" s="2">
        <v>33790.02324246044</v>
      </c>
      <c r="Q11" s="9">
        <v>0.21099999999999999</v>
      </c>
      <c r="R11" s="2">
        <v>36941.424373881615</v>
      </c>
      <c r="S11" s="9">
        <v>1.9199999999999998E-2</v>
      </c>
      <c r="T11" s="2">
        <v>3361.4945401825926</v>
      </c>
      <c r="U11" s="9">
        <v>1.61E-2</v>
      </c>
      <c r="V11" s="2">
        <v>2818.7532342156114</v>
      </c>
    </row>
    <row r="12" spans="1:22" x14ac:dyDescent="0.55000000000000004">
      <c r="A12" t="s">
        <v>8</v>
      </c>
      <c r="B12" t="s">
        <v>95</v>
      </c>
      <c r="C12" t="s">
        <v>12</v>
      </c>
      <c r="E12" t="s">
        <v>98</v>
      </c>
      <c r="F12" s="2">
        <v>162158.18249564129</v>
      </c>
      <c r="G12" s="9">
        <v>0.109</v>
      </c>
      <c r="H12" s="2">
        <v>17675.2418920249</v>
      </c>
      <c r="I12" s="9">
        <v>0.107</v>
      </c>
      <c r="J12" s="2">
        <v>17350.925527033618</v>
      </c>
      <c r="K12" s="9">
        <v>0.21199999999999999</v>
      </c>
      <c r="L12" s="2">
        <v>34377.534689075954</v>
      </c>
      <c r="M12" s="9">
        <v>0.16700000000000001</v>
      </c>
      <c r="N12" s="2">
        <v>27080.416476772098</v>
      </c>
      <c r="O12" s="9">
        <v>0.16200000000000001</v>
      </c>
      <c r="P12" s="2">
        <v>26269.625564293889</v>
      </c>
      <c r="Q12" s="9">
        <v>0.17100000000000001</v>
      </c>
      <c r="R12" s="2">
        <v>27729.049206754662</v>
      </c>
      <c r="S12" s="9">
        <v>3.4299999999999997E-2</v>
      </c>
      <c r="T12" s="2">
        <v>5562.0256596004956</v>
      </c>
      <c r="U12" s="9">
        <v>3.7699999999999997E-2</v>
      </c>
      <c r="V12" s="2">
        <v>6113.3634800856762</v>
      </c>
    </row>
    <row r="13" spans="1:22" x14ac:dyDescent="0.55000000000000004">
      <c r="A13" t="s">
        <v>8</v>
      </c>
      <c r="B13" t="s">
        <v>95</v>
      </c>
      <c r="C13" t="s">
        <v>13</v>
      </c>
      <c r="E13" t="s">
        <v>99</v>
      </c>
      <c r="F13" s="2">
        <v>105511.34898970785</v>
      </c>
      <c r="G13" s="9">
        <v>9.2999999999999999E-2</v>
      </c>
      <c r="H13" s="2">
        <v>9812.55545604283</v>
      </c>
      <c r="I13" s="9">
        <v>0.10199999999999999</v>
      </c>
      <c r="J13" s="2">
        <v>10762.157596950201</v>
      </c>
      <c r="K13" s="9">
        <v>0.21879999999999999</v>
      </c>
      <c r="L13" s="2">
        <v>23085.88315894808</v>
      </c>
      <c r="M13" s="9">
        <v>0.20499999999999999</v>
      </c>
      <c r="N13" s="2">
        <v>21629.82654289011</v>
      </c>
      <c r="O13" s="9">
        <v>0.183</v>
      </c>
      <c r="P13" s="2">
        <v>19308.576865116538</v>
      </c>
      <c r="Q13" s="9">
        <v>0.188</v>
      </c>
      <c r="R13" s="2">
        <v>19836.133610065077</v>
      </c>
      <c r="S13" s="9">
        <v>6.2600000000000008E-3</v>
      </c>
      <c r="T13" s="2">
        <v>660.50104467557128</v>
      </c>
      <c r="U13" s="9">
        <v>3.9399999999999999E-3</v>
      </c>
      <c r="V13" s="2">
        <v>415.71471501944893</v>
      </c>
    </row>
    <row r="14" spans="1:22" x14ac:dyDescent="0.55000000000000004">
      <c r="A14" t="s">
        <v>8</v>
      </c>
      <c r="B14" t="s">
        <v>95</v>
      </c>
      <c r="C14" t="s">
        <v>183</v>
      </c>
      <c r="D14" t="s">
        <v>179</v>
      </c>
      <c r="E14" t="s">
        <v>100</v>
      </c>
      <c r="F14" s="2">
        <v>163767.03771167423</v>
      </c>
      <c r="G14" s="9">
        <v>0.121</v>
      </c>
      <c r="H14" s="2">
        <v>19815.81156311258</v>
      </c>
      <c r="I14" s="9">
        <v>0.13500000000000001</v>
      </c>
      <c r="J14" s="2">
        <v>22108.550091076024</v>
      </c>
      <c r="K14" s="9">
        <v>0.14600000000000002</v>
      </c>
      <c r="L14" s="2">
        <v>23909.987505904443</v>
      </c>
      <c r="M14" s="9">
        <v>0.184</v>
      </c>
      <c r="N14" s="2">
        <v>30133.134938948057</v>
      </c>
      <c r="O14" s="9">
        <v>0.188</v>
      </c>
      <c r="P14" s="2">
        <v>30788.203089794755</v>
      </c>
      <c r="Q14" s="9">
        <v>0.193</v>
      </c>
      <c r="R14" s="2">
        <v>31607.038278353128</v>
      </c>
      <c r="S14" s="9">
        <v>9.0000000000000011E-3</v>
      </c>
      <c r="T14" s="2">
        <v>1473.9033394050682</v>
      </c>
      <c r="U14" s="9">
        <v>2.4E-2</v>
      </c>
      <c r="V14" s="2">
        <v>3930.4089050801817</v>
      </c>
    </row>
    <row r="15" spans="1:22" x14ac:dyDescent="0.55000000000000004">
      <c r="A15" t="s">
        <v>8</v>
      </c>
      <c r="B15" t="s">
        <v>95</v>
      </c>
      <c r="C15" t="s">
        <v>14</v>
      </c>
      <c r="E15" t="s">
        <v>101</v>
      </c>
      <c r="F15" s="2">
        <v>314108.59224918525</v>
      </c>
      <c r="G15" s="9">
        <v>0.13</v>
      </c>
      <c r="H15" s="2">
        <v>40834.116992394083</v>
      </c>
      <c r="I15" s="9">
        <v>9.1800000000000007E-2</v>
      </c>
      <c r="J15" s="2">
        <v>28835.168768475207</v>
      </c>
      <c r="K15" s="9">
        <v>0.16370000000000001</v>
      </c>
      <c r="L15" s="2">
        <v>51419.576551191632</v>
      </c>
      <c r="M15" s="9">
        <v>0.14799999999999999</v>
      </c>
      <c r="N15" s="2">
        <v>46488.071652879415</v>
      </c>
      <c r="O15" s="9">
        <v>0.185</v>
      </c>
      <c r="P15" s="2">
        <v>58110.089566099268</v>
      </c>
      <c r="Q15" s="9">
        <v>0.20300000000000001</v>
      </c>
      <c r="R15" s="2">
        <v>63764.044226584614</v>
      </c>
      <c r="S15" s="9">
        <v>3.4299999999999997E-2</v>
      </c>
      <c r="T15" s="2">
        <v>10773.924714147053</v>
      </c>
      <c r="U15" s="9">
        <v>4.4200000000000003E-2</v>
      </c>
      <c r="V15" s="2">
        <v>13883.599777413989</v>
      </c>
    </row>
    <row r="16" spans="1:22" x14ac:dyDescent="0.55000000000000004">
      <c r="A16" t="s">
        <v>8</v>
      </c>
      <c r="B16" t="s">
        <v>95</v>
      </c>
      <c r="C16" t="s">
        <v>16</v>
      </c>
      <c r="E16" t="s">
        <v>102</v>
      </c>
      <c r="F16" s="2">
        <v>65843.699921025443</v>
      </c>
      <c r="G16" s="9">
        <v>0.107</v>
      </c>
      <c r="H16" s="2">
        <v>7045.2758915497225</v>
      </c>
      <c r="I16" s="9">
        <v>0.11700000000000001</v>
      </c>
      <c r="J16" s="2">
        <v>7703.7128907599772</v>
      </c>
      <c r="K16" s="9">
        <v>0.14699999999999999</v>
      </c>
      <c r="L16" s="2">
        <v>9679.0238883907405</v>
      </c>
      <c r="M16" s="9">
        <v>0.184</v>
      </c>
      <c r="N16" s="2">
        <v>12115.240785468681</v>
      </c>
      <c r="O16" s="9">
        <v>0.19900000000000004</v>
      </c>
      <c r="P16" s="2">
        <v>13102.896284284066</v>
      </c>
      <c r="Q16" s="9">
        <v>0.20699999999999999</v>
      </c>
      <c r="R16" s="2">
        <v>13629.645883652267</v>
      </c>
      <c r="S16" s="9">
        <v>1.0999999999999999E-2</v>
      </c>
      <c r="T16" s="2">
        <v>724.28069913127979</v>
      </c>
      <c r="U16" s="9">
        <v>2.8000000000000001E-2</v>
      </c>
      <c r="V16" s="2">
        <v>1843.6235977887125</v>
      </c>
    </row>
    <row r="17" spans="1:22" x14ac:dyDescent="0.55000000000000004">
      <c r="A17" t="s">
        <v>17</v>
      </c>
      <c r="B17" t="s">
        <v>104</v>
      </c>
      <c r="C17" t="s">
        <v>18</v>
      </c>
      <c r="E17" t="s">
        <v>103</v>
      </c>
      <c r="F17" s="2">
        <v>238041.72101560212</v>
      </c>
      <c r="G17" s="9">
        <v>9.3700000000000006E-2</v>
      </c>
      <c r="H17" s="2">
        <v>22304.509259161921</v>
      </c>
      <c r="I17" s="9">
        <v>7.6600000000000001E-2</v>
      </c>
      <c r="J17" s="2">
        <v>18233.995829795123</v>
      </c>
      <c r="K17" s="9">
        <v>0.17700000000000002</v>
      </c>
      <c r="L17" s="2">
        <v>42133.384619761579</v>
      </c>
      <c r="M17" s="9">
        <v>0.159</v>
      </c>
      <c r="N17" s="2">
        <v>37848.633641480737</v>
      </c>
      <c r="O17" s="9">
        <v>0.1767</v>
      </c>
      <c r="P17" s="2">
        <v>42061.972103456894</v>
      </c>
      <c r="Q17" s="9">
        <v>0.21</v>
      </c>
      <c r="R17" s="2">
        <v>49988.761413276443</v>
      </c>
      <c r="S17" s="9">
        <v>4.1200000000000001E-2</v>
      </c>
      <c r="T17" s="2">
        <v>9807.318905842807</v>
      </c>
      <c r="U17" s="9">
        <v>6.5799999999999997E-2</v>
      </c>
      <c r="V17" s="2">
        <v>15663.145242826618</v>
      </c>
    </row>
    <row r="18" spans="1:22" x14ac:dyDescent="0.55000000000000004">
      <c r="A18" t="s">
        <v>17</v>
      </c>
      <c r="B18" t="s">
        <v>104</v>
      </c>
      <c r="C18" t="s">
        <v>19</v>
      </c>
      <c r="E18" t="s">
        <v>105</v>
      </c>
      <c r="F18" s="2">
        <v>205709.13592529</v>
      </c>
      <c r="G18" s="9">
        <v>8.8499999999999995E-2</v>
      </c>
      <c r="H18" s="2">
        <v>18205.258529388164</v>
      </c>
      <c r="I18" s="9">
        <v>9.6199999999999994E-2</v>
      </c>
      <c r="J18" s="2">
        <v>19789.218876012896</v>
      </c>
      <c r="K18" s="9">
        <v>0.16800000000000001</v>
      </c>
      <c r="L18" s="2">
        <v>34559.13483544872</v>
      </c>
      <c r="M18" s="9">
        <v>0.151</v>
      </c>
      <c r="N18" s="2">
        <v>31062.079524718789</v>
      </c>
      <c r="O18" s="9">
        <v>0.21</v>
      </c>
      <c r="P18" s="2">
        <v>43198.918544310902</v>
      </c>
      <c r="Q18" s="9">
        <v>0.20699999999999999</v>
      </c>
      <c r="R18" s="2">
        <v>42581.79113653503</v>
      </c>
      <c r="S18" s="9">
        <v>3.0300000000000001E-2</v>
      </c>
      <c r="T18" s="2">
        <v>6232.9868185362875</v>
      </c>
      <c r="U18" s="9">
        <v>4.9000000000000002E-2</v>
      </c>
      <c r="V18" s="2">
        <v>10079.74766033921</v>
      </c>
    </row>
    <row r="19" spans="1:22" x14ac:dyDescent="0.55000000000000004">
      <c r="A19" t="s">
        <v>17</v>
      </c>
      <c r="B19" t="s">
        <v>104</v>
      </c>
      <c r="C19" t="s">
        <v>20</v>
      </c>
      <c r="E19" t="s">
        <v>106</v>
      </c>
      <c r="F19" s="2">
        <v>354711.13349284377</v>
      </c>
      <c r="G19" s="9">
        <v>0.1333</v>
      </c>
      <c r="H19" s="2">
        <v>47282.994094596077</v>
      </c>
      <c r="I19" s="9">
        <v>9.0399999999999994E-2</v>
      </c>
      <c r="J19" s="2">
        <v>32065.886467753076</v>
      </c>
      <c r="K19" s="9">
        <v>0.16600000000000001</v>
      </c>
      <c r="L19" s="2">
        <v>58882.048159812068</v>
      </c>
      <c r="M19" s="9">
        <v>0.155</v>
      </c>
      <c r="N19" s="2">
        <v>54980.225691390784</v>
      </c>
      <c r="O19" s="9">
        <v>0.17100000000000001</v>
      </c>
      <c r="P19" s="2">
        <v>60655.603827276289</v>
      </c>
      <c r="Q19" s="9">
        <v>0.224</v>
      </c>
      <c r="R19" s="2">
        <v>79455.29390239701</v>
      </c>
      <c r="S19" s="9">
        <v>3.73E-2</v>
      </c>
      <c r="T19" s="2">
        <v>13230.725279283073</v>
      </c>
      <c r="U19" s="9">
        <v>2.3E-2</v>
      </c>
      <c r="V19" s="2">
        <v>8158.3560703354069</v>
      </c>
    </row>
    <row r="20" spans="1:22" x14ac:dyDescent="0.55000000000000004">
      <c r="A20" t="s">
        <v>17</v>
      </c>
      <c r="B20" t="s">
        <v>104</v>
      </c>
      <c r="C20" t="s">
        <v>184</v>
      </c>
      <c r="D20" t="s">
        <v>180</v>
      </c>
      <c r="E20" t="s">
        <v>107</v>
      </c>
      <c r="F20" s="2">
        <v>111613.13840110668</v>
      </c>
      <c r="G20" s="9">
        <v>9.0800000000000006E-2</v>
      </c>
      <c r="H20" s="2">
        <v>10134.472966820487</v>
      </c>
      <c r="I20" s="9">
        <v>6.4100000000000004E-2</v>
      </c>
      <c r="J20" s="2">
        <v>7154.4021715109393</v>
      </c>
      <c r="K20" s="9">
        <v>0.14099999999999999</v>
      </c>
      <c r="L20" s="2">
        <v>15737.45251455604</v>
      </c>
      <c r="M20" s="9">
        <v>0.154</v>
      </c>
      <c r="N20" s="2">
        <v>17188.423313770429</v>
      </c>
      <c r="O20" s="9">
        <v>0.21300000000000002</v>
      </c>
      <c r="P20" s="2">
        <v>23773.598479435725</v>
      </c>
      <c r="Q20" s="9">
        <v>0.24099999999999999</v>
      </c>
      <c r="R20" s="2">
        <v>26898.76635466671</v>
      </c>
      <c r="S20" s="9">
        <v>4.6600000000000003E-2</v>
      </c>
      <c r="T20" s="2">
        <v>5201.1722494915721</v>
      </c>
      <c r="U20" s="9">
        <v>4.9500000000000002E-2</v>
      </c>
      <c r="V20" s="2">
        <v>5524.850350854781</v>
      </c>
    </row>
    <row r="21" spans="1:22" x14ac:dyDescent="0.55000000000000004">
      <c r="A21" t="s">
        <v>17</v>
      </c>
      <c r="B21" t="s">
        <v>104</v>
      </c>
      <c r="C21" t="s">
        <v>21</v>
      </c>
      <c r="E21" t="s">
        <v>108</v>
      </c>
      <c r="F21" s="2">
        <v>206545.44235131986</v>
      </c>
      <c r="G21" s="9">
        <v>0.112</v>
      </c>
      <c r="H21" s="2">
        <v>23133.089543347825</v>
      </c>
      <c r="I21" s="9">
        <v>9.5799999999999996E-2</v>
      </c>
      <c r="J21" s="2">
        <v>19787.053377256441</v>
      </c>
      <c r="K21" s="9">
        <v>0.17600000000000002</v>
      </c>
      <c r="L21" s="2">
        <v>36351.997853832298</v>
      </c>
      <c r="M21" s="9">
        <v>0.159</v>
      </c>
      <c r="N21" s="2">
        <v>32840.72533385986</v>
      </c>
      <c r="O21" s="9">
        <v>0.18729999999999999</v>
      </c>
      <c r="P21" s="2">
        <v>38685.961352402206</v>
      </c>
      <c r="Q21" s="9">
        <v>0.20899999999999999</v>
      </c>
      <c r="R21" s="2">
        <v>43167.99745142585</v>
      </c>
      <c r="S21" s="9">
        <v>2.4500000000000001E-2</v>
      </c>
      <c r="T21" s="2">
        <v>5060.3633376073367</v>
      </c>
      <c r="U21" s="9">
        <v>3.6400000000000002E-2</v>
      </c>
      <c r="V21" s="2">
        <v>7518.2541015880433</v>
      </c>
    </row>
    <row r="22" spans="1:22" x14ac:dyDescent="0.55000000000000004">
      <c r="A22" t="s">
        <v>17</v>
      </c>
      <c r="B22" t="s">
        <v>104</v>
      </c>
      <c r="C22" t="s">
        <v>187</v>
      </c>
      <c r="D22" t="s">
        <v>188</v>
      </c>
      <c r="E22" t="s">
        <v>109</v>
      </c>
      <c r="F22" s="2">
        <v>213029.10373006188</v>
      </c>
      <c r="G22" s="9">
        <v>9.8900000000000002E-2</v>
      </c>
      <c r="H22" s="2">
        <v>21068.57835890312</v>
      </c>
      <c r="I22" s="9">
        <v>0.111</v>
      </c>
      <c r="J22" s="2">
        <v>23646.23051403687</v>
      </c>
      <c r="K22" s="9">
        <v>0.21099999999999999</v>
      </c>
      <c r="L22" s="2">
        <v>44949.140887043053</v>
      </c>
      <c r="M22" s="9">
        <v>0.16300000000000001</v>
      </c>
      <c r="N22" s="2">
        <v>34723.743908000084</v>
      </c>
      <c r="O22" s="9">
        <v>0.18820000000000001</v>
      </c>
      <c r="P22" s="2">
        <v>40092.077321997647</v>
      </c>
      <c r="Q22" s="9">
        <v>0.14799999999999999</v>
      </c>
      <c r="R22" s="2">
        <v>31528.307352049156</v>
      </c>
      <c r="S22" s="9">
        <v>3.2099999999999997E-2</v>
      </c>
      <c r="T22" s="2">
        <v>6838.2342297349851</v>
      </c>
      <c r="U22" s="9">
        <v>4.7800000000000002E-2</v>
      </c>
      <c r="V22" s="2">
        <v>10182.791158296959</v>
      </c>
    </row>
    <row r="23" spans="1:22" x14ac:dyDescent="0.55000000000000004">
      <c r="A23" t="s">
        <v>17</v>
      </c>
      <c r="B23" t="s">
        <v>104</v>
      </c>
      <c r="C23" t="s">
        <v>23</v>
      </c>
      <c r="E23" t="s">
        <v>110</v>
      </c>
      <c r="F23" s="2">
        <v>153294.86998934194</v>
      </c>
      <c r="G23" s="9">
        <v>0.09</v>
      </c>
      <c r="H23" s="2">
        <v>13796.538299040774</v>
      </c>
      <c r="I23" s="9">
        <v>7.6499999999999999E-2</v>
      </c>
      <c r="J23" s="2">
        <v>11727.057554184657</v>
      </c>
      <c r="K23" s="9">
        <v>0.21799999999999997</v>
      </c>
      <c r="L23" s="2">
        <v>33418.28165767654</v>
      </c>
      <c r="M23" s="9">
        <v>0.19139999999999999</v>
      </c>
      <c r="N23" s="2">
        <v>29340.638115960046</v>
      </c>
      <c r="O23" s="9">
        <v>0.15999999999999998</v>
      </c>
      <c r="P23" s="2">
        <v>24527.179198294707</v>
      </c>
      <c r="Q23" s="9">
        <v>0.186</v>
      </c>
      <c r="R23" s="2">
        <v>28512.845818017602</v>
      </c>
      <c r="S23" s="9">
        <v>2.8000000000000004E-2</v>
      </c>
      <c r="T23" s="2">
        <v>4292.2563597015751</v>
      </c>
      <c r="U23" s="9">
        <v>5.0099999999999999E-2</v>
      </c>
      <c r="V23" s="2">
        <v>7680.0729864660307</v>
      </c>
    </row>
    <row r="24" spans="1:22" x14ac:dyDescent="0.55000000000000004">
      <c r="A24" t="s">
        <v>17</v>
      </c>
      <c r="B24" t="s">
        <v>104</v>
      </c>
      <c r="C24" t="s">
        <v>25</v>
      </c>
      <c r="E24" t="s">
        <v>111</v>
      </c>
      <c r="F24" s="2">
        <v>237649.09242000672</v>
      </c>
      <c r="G24" s="9">
        <v>0.13700000000000001</v>
      </c>
      <c r="H24" s="2">
        <v>32557.925661540925</v>
      </c>
      <c r="I24" s="9">
        <v>0.11700000000000001</v>
      </c>
      <c r="J24" s="2">
        <v>27804.943813140788</v>
      </c>
      <c r="K24" s="9">
        <v>0.13799999999999998</v>
      </c>
      <c r="L24" s="2">
        <v>32795.574753960922</v>
      </c>
      <c r="M24" s="9">
        <v>0.155</v>
      </c>
      <c r="N24" s="2">
        <v>36835.609325101039</v>
      </c>
      <c r="O24" s="9">
        <v>0.17169999999999999</v>
      </c>
      <c r="P24" s="2">
        <v>40804.349168515153</v>
      </c>
      <c r="Q24" s="9">
        <v>0.19600000000000001</v>
      </c>
      <c r="R24" s="2">
        <v>46579.222114321317</v>
      </c>
      <c r="S24" s="9">
        <v>3.1100000000000003E-2</v>
      </c>
      <c r="T24" s="2">
        <v>7390.8867742622097</v>
      </c>
      <c r="U24" s="9">
        <v>5.4199999999999998E-2</v>
      </c>
      <c r="V24" s="2">
        <v>12880.580809164365</v>
      </c>
    </row>
    <row r="25" spans="1:22" x14ac:dyDescent="0.55000000000000004">
      <c r="A25" t="s">
        <v>17</v>
      </c>
      <c r="B25" t="s">
        <v>104</v>
      </c>
      <c r="C25" t="s">
        <v>27</v>
      </c>
      <c r="E25" t="s">
        <v>112</v>
      </c>
      <c r="F25" s="2">
        <v>82567.658817124684</v>
      </c>
      <c r="G25" s="9">
        <v>0.13600000000000001</v>
      </c>
      <c r="H25" s="2">
        <v>11229.201599128957</v>
      </c>
      <c r="I25" s="9">
        <v>0.1032</v>
      </c>
      <c r="J25" s="2">
        <v>8520.9823899272669</v>
      </c>
      <c r="K25" s="9">
        <v>0.19500000000000001</v>
      </c>
      <c r="L25" s="2">
        <v>16100.693469339314</v>
      </c>
      <c r="M25" s="9">
        <v>0.17399999999999999</v>
      </c>
      <c r="N25" s="2">
        <v>14366.772634179693</v>
      </c>
      <c r="O25" s="9">
        <v>0.10499999999999998</v>
      </c>
      <c r="P25" s="2">
        <v>8669.6041757980911</v>
      </c>
      <c r="Q25" s="9">
        <v>0.27200000000000002</v>
      </c>
      <c r="R25" s="2">
        <v>22458.403198257914</v>
      </c>
      <c r="S25" s="9">
        <v>6.4400000000000013E-3</v>
      </c>
      <c r="T25" s="2">
        <v>531.73572278228312</v>
      </c>
      <c r="U25" s="9">
        <v>8.3599999999999994E-3</v>
      </c>
      <c r="V25" s="2">
        <v>690.26562771116232</v>
      </c>
    </row>
    <row r="26" spans="1:22" x14ac:dyDescent="0.55000000000000004">
      <c r="A26" t="s">
        <v>17</v>
      </c>
      <c r="B26" t="s">
        <v>104</v>
      </c>
      <c r="C26" t="s">
        <v>29</v>
      </c>
      <c r="E26" t="s">
        <v>113</v>
      </c>
      <c r="F26" s="2">
        <v>129822.06214841511</v>
      </c>
      <c r="G26" s="9">
        <v>7.3700000000000002E-2</v>
      </c>
      <c r="H26" s="2">
        <v>9567.8859803381929</v>
      </c>
      <c r="I26" s="9">
        <v>8.3400000000000002E-2</v>
      </c>
      <c r="J26" s="2">
        <v>10827.15998317782</v>
      </c>
      <c r="K26" s="9">
        <v>0.15200000000000002</v>
      </c>
      <c r="L26" s="2">
        <v>19732.953446559099</v>
      </c>
      <c r="M26" s="9">
        <v>0.17299999999999999</v>
      </c>
      <c r="N26" s="2">
        <v>22459.216751675813</v>
      </c>
      <c r="O26" s="9">
        <v>0.18</v>
      </c>
      <c r="P26" s="2">
        <v>23367.97118671472</v>
      </c>
      <c r="Q26" s="9">
        <v>0.25600000000000001</v>
      </c>
      <c r="R26" s="2">
        <v>33234.447909994269</v>
      </c>
      <c r="S26" s="9">
        <v>4.1200000000000001E-2</v>
      </c>
      <c r="T26" s="2">
        <v>5348.6689605147021</v>
      </c>
      <c r="U26" s="9">
        <v>4.07E-2</v>
      </c>
      <c r="V26" s="2">
        <v>5283.757929440495</v>
      </c>
    </row>
    <row r="27" spans="1:22" x14ac:dyDescent="0.55000000000000004">
      <c r="A27" t="s">
        <v>17</v>
      </c>
      <c r="B27" t="s">
        <v>116</v>
      </c>
      <c r="C27" t="s">
        <v>31</v>
      </c>
      <c r="E27" t="s">
        <v>114</v>
      </c>
      <c r="F27" s="2">
        <v>205594.44785430626</v>
      </c>
      <c r="G27" s="9">
        <v>0.14360000000000001</v>
      </c>
      <c r="H27" s="2">
        <v>29523.362711878381</v>
      </c>
      <c r="I27" s="9">
        <v>0.129</v>
      </c>
      <c r="J27" s="2">
        <v>26521.683773205506</v>
      </c>
      <c r="K27" s="9">
        <v>0.14400000000000002</v>
      </c>
      <c r="L27" s="2">
        <v>29605.600491020105</v>
      </c>
      <c r="M27" s="9">
        <v>0.17799999999999999</v>
      </c>
      <c r="N27" s="2">
        <v>36595.811718066514</v>
      </c>
      <c r="O27" s="9">
        <v>0.183</v>
      </c>
      <c r="P27" s="2">
        <v>37623.783957338048</v>
      </c>
      <c r="Q27" s="9">
        <v>0.193</v>
      </c>
      <c r="R27" s="2">
        <v>39679.728435881108</v>
      </c>
      <c r="S27" s="9">
        <v>1.26E-2</v>
      </c>
      <c r="T27" s="2">
        <v>2590.4900429642589</v>
      </c>
      <c r="U27" s="9">
        <v>1.6799999999999999E-2</v>
      </c>
      <c r="V27" s="2">
        <v>3453.9867239523451</v>
      </c>
    </row>
    <row r="28" spans="1:22" x14ac:dyDescent="0.55000000000000004">
      <c r="A28" t="s">
        <v>22</v>
      </c>
      <c r="B28" t="s">
        <v>116</v>
      </c>
      <c r="C28" t="s">
        <v>33</v>
      </c>
      <c r="E28" t="s">
        <v>115</v>
      </c>
      <c r="F28" s="2">
        <v>144223.10318446739</v>
      </c>
      <c r="G28" s="9">
        <v>6.3399999999999998E-2</v>
      </c>
      <c r="H28" s="2">
        <v>9143.7447418952324</v>
      </c>
      <c r="I28" s="9">
        <v>6.0999999999999999E-2</v>
      </c>
      <c r="J28" s="2">
        <v>8797.6092942525102</v>
      </c>
      <c r="K28" s="9">
        <v>0.22700000000000001</v>
      </c>
      <c r="L28" s="2">
        <v>32738.644422874098</v>
      </c>
      <c r="M28" s="9">
        <v>0.23400000000000001</v>
      </c>
      <c r="N28" s="2">
        <v>33748.206145165372</v>
      </c>
      <c r="O28" s="9">
        <v>0.1774</v>
      </c>
      <c r="P28" s="2">
        <v>25585.178504924515</v>
      </c>
      <c r="Q28" s="9">
        <v>0.19400000000000001</v>
      </c>
      <c r="R28" s="2">
        <v>27979.282017786674</v>
      </c>
      <c r="S28" s="9">
        <v>1.9200000000000002E-2</v>
      </c>
      <c r="T28" s="2">
        <v>2769.0835811417742</v>
      </c>
      <c r="U28" s="9">
        <v>2.4E-2</v>
      </c>
      <c r="V28" s="2">
        <v>3461.3544764272174</v>
      </c>
    </row>
    <row r="29" spans="1:22" x14ac:dyDescent="0.55000000000000004">
      <c r="A29" t="s">
        <v>22</v>
      </c>
      <c r="B29" t="s">
        <v>116</v>
      </c>
      <c r="C29" t="s">
        <v>35</v>
      </c>
      <c r="E29" t="s">
        <v>117</v>
      </c>
      <c r="F29" s="2">
        <v>189198.79578428858</v>
      </c>
      <c r="G29" s="9">
        <v>7.5399999999999995E-2</v>
      </c>
      <c r="H29" s="2">
        <v>14265.589202135357</v>
      </c>
      <c r="I29" s="9">
        <v>4.2599999999999999E-2</v>
      </c>
      <c r="J29" s="2">
        <v>8059.8687004106932</v>
      </c>
      <c r="K29" s="9">
        <v>0.22500000000000001</v>
      </c>
      <c r="L29" s="2">
        <v>42569.729051464928</v>
      </c>
      <c r="M29" s="9">
        <v>0.20399999999999999</v>
      </c>
      <c r="N29" s="2">
        <v>38596.554339994866</v>
      </c>
      <c r="O29" s="9">
        <v>0.17700000000000002</v>
      </c>
      <c r="P29" s="2">
        <v>33488.186853819083</v>
      </c>
      <c r="Q29" s="9">
        <v>0.16600000000000001</v>
      </c>
      <c r="R29" s="2">
        <v>31407.000100191904</v>
      </c>
      <c r="S29" s="9">
        <v>4.9800000000000004E-2</v>
      </c>
      <c r="T29" s="2">
        <v>9422.1000300575724</v>
      </c>
      <c r="U29" s="9">
        <v>6.0199999999999997E-2</v>
      </c>
      <c r="V29" s="2">
        <v>11389.767506214172</v>
      </c>
    </row>
    <row r="30" spans="1:22" x14ac:dyDescent="0.55000000000000004">
      <c r="A30" t="s">
        <v>22</v>
      </c>
      <c r="B30" t="s">
        <v>116</v>
      </c>
      <c r="C30" t="s">
        <v>36</v>
      </c>
      <c r="E30" t="s">
        <v>118</v>
      </c>
      <c r="F30" s="2">
        <v>222497.10257945093</v>
      </c>
      <c r="G30" s="9">
        <v>8.1100000000000005E-2</v>
      </c>
      <c r="H30" s="2">
        <v>18044.515019193474</v>
      </c>
      <c r="I30" s="9">
        <v>5.57E-2</v>
      </c>
      <c r="J30" s="2">
        <v>12393.088613675416</v>
      </c>
      <c r="K30" s="9">
        <v>0.221</v>
      </c>
      <c r="L30" s="2">
        <v>49171.859670058657</v>
      </c>
      <c r="M30" s="9">
        <v>0.22600000000000001</v>
      </c>
      <c r="N30" s="2">
        <v>50284.345182955913</v>
      </c>
      <c r="O30" s="9">
        <v>0.19600000000000001</v>
      </c>
      <c r="P30" s="2">
        <v>43609.432105572385</v>
      </c>
      <c r="Q30" s="9">
        <v>0.193</v>
      </c>
      <c r="R30" s="2">
        <v>42941.940797834031</v>
      </c>
      <c r="S30" s="9">
        <v>1.03E-2</v>
      </c>
      <c r="T30" s="2">
        <v>2291.7201565683445</v>
      </c>
      <c r="U30" s="9">
        <v>1.6899999999999998E-2</v>
      </c>
      <c r="V30" s="2">
        <v>3760.2010335927203</v>
      </c>
    </row>
    <row r="31" spans="1:22" x14ac:dyDescent="0.55000000000000004">
      <c r="A31" t="s">
        <v>22</v>
      </c>
      <c r="B31" t="s">
        <v>116</v>
      </c>
      <c r="C31" t="s">
        <v>37</v>
      </c>
      <c r="E31" t="s">
        <v>119</v>
      </c>
      <c r="F31" s="2">
        <v>180970.04311298169</v>
      </c>
      <c r="G31" s="9">
        <v>9.2799999999999994E-2</v>
      </c>
      <c r="H31" s="2">
        <v>16794.020000884699</v>
      </c>
      <c r="I31" s="9">
        <v>7.8200000000000006E-2</v>
      </c>
      <c r="J31" s="2">
        <v>14151.85737143517</v>
      </c>
      <c r="K31" s="9">
        <v>0.18290000000000001</v>
      </c>
      <c r="L31" s="2">
        <v>33099.42088536435</v>
      </c>
      <c r="M31" s="9">
        <v>0.20399999999999999</v>
      </c>
      <c r="N31" s="2">
        <v>36917.88879504826</v>
      </c>
      <c r="O31" s="9">
        <v>0.19900000000000001</v>
      </c>
      <c r="P31" s="2">
        <v>36013.038579483356</v>
      </c>
      <c r="Q31" s="9">
        <v>0.2</v>
      </c>
      <c r="R31" s="2">
        <v>36194.008622596339</v>
      </c>
      <c r="S31" s="9">
        <v>1.5799999999999998E-2</v>
      </c>
      <c r="T31" s="2">
        <v>2859.3266811851104</v>
      </c>
      <c r="U31" s="9">
        <v>2.7300000000000001E-2</v>
      </c>
      <c r="V31" s="2">
        <v>4940.4821769844002</v>
      </c>
    </row>
    <row r="32" spans="1:22" x14ac:dyDescent="0.55000000000000004">
      <c r="A32" t="s">
        <v>22</v>
      </c>
      <c r="B32" t="s">
        <v>116</v>
      </c>
      <c r="C32" t="s">
        <v>38</v>
      </c>
      <c r="E32" t="s">
        <v>120</v>
      </c>
      <c r="F32" s="2">
        <v>75046.756987708417</v>
      </c>
      <c r="G32" s="9">
        <v>9.5500000000000002E-2</v>
      </c>
      <c r="H32" s="2">
        <v>7166.9652923261538</v>
      </c>
      <c r="I32" s="9">
        <v>9.7600000000000006E-2</v>
      </c>
      <c r="J32" s="2">
        <v>7324.5634820003415</v>
      </c>
      <c r="K32" s="9">
        <v>0.20299999999999999</v>
      </c>
      <c r="L32" s="2">
        <v>15234.491668504808</v>
      </c>
      <c r="M32" s="9">
        <v>0.216</v>
      </c>
      <c r="N32" s="2">
        <v>16210.099509345018</v>
      </c>
      <c r="O32" s="9">
        <v>0.151</v>
      </c>
      <c r="P32" s="2">
        <v>11332.06030514397</v>
      </c>
      <c r="Q32" s="9">
        <v>0.17</v>
      </c>
      <c r="R32" s="2">
        <v>12757.948687910432</v>
      </c>
      <c r="S32" s="9">
        <v>3.1699999999999999E-2</v>
      </c>
      <c r="T32" s="2">
        <v>2378.982196510357</v>
      </c>
      <c r="U32" s="9">
        <v>3.5200000000000002E-2</v>
      </c>
      <c r="V32" s="2">
        <v>2641.6458459673363</v>
      </c>
    </row>
    <row r="33" spans="1:22" x14ac:dyDescent="0.55000000000000004">
      <c r="A33" t="s">
        <v>22</v>
      </c>
      <c r="B33" t="s">
        <v>116</v>
      </c>
      <c r="C33" t="s">
        <v>39</v>
      </c>
      <c r="E33" t="s">
        <v>121</v>
      </c>
      <c r="F33" s="2">
        <v>92246.656048497272</v>
      </c>
      <c r="G33" s="9">
        <v>8.0500000000000002E-2</v>
      </c>
      <c r="H33" s="2">
        <v>7425.8558119040308</v>
      </c>
      <c r="I33" s="9">
        <v>7.0599999999999996E-2</v>
      </c>
      <c r="J33" s="2">
        <v>6512.6139170239067</v>
      </c>
      <c r="K33" s="9">
        <v>0.21700000000000003</v>
      </c>
      <c r="L33" s="2">
        <v>20017.524362523909</v>
      </c>
      <c r="M33" s="9">
        <v>0.184</v>
      </c>
      <c r="N33" s="2">
        <v>16973.384712923496</v>
      </c>
      <c r="O33" s="9">
        <v>0.19800000000000001</v>
      </c>
      <c r="P33" s="2">
        <v>18264.837897602461</v>
      </c>
      <c r="Q33" s="9">
        <v>0.188</v>
      </c>
      <c r="R33" s="2">
        <v>17342.371337117489</v>
      </c>
      <c r="S33" s="9">
        <v>2.8199999999999996E-2</v>
      </c>
      <c r="T33" s="2">
        <v>2601.3557005676225</v>
      </c>
      <c r="U33" s="9">
        <v>3.3700000000000001E-2</v>
      </c>
      <c r="V33" s="2">
        <v>3108.7123088343583</v>
      </c>
    </row>
    <row r="34" spans="1:22" x14ac:dyDescent="0.55000000000000004">
      <c r="A34" t="s">
        <v>22</v>
      </c>
      <c r="B34" t="s">
        <v>116</v>
      </c>
      <c r="C34" t="s">
        <v>40</v>
      </c>
      <c r="E34" t="s">
        <v>122</v>
      </c>
      <c r="F34" s="2">
        <v>165810.49363138128</v>
      </c>
      <c r="G34" s="9">
        <v>0.108</v>
      </c>
      <c r="H34" s="2">
        <v>17907.533312189178</v>
      </c>
      <c r="I34" s="9">
        <v>9.6000000000000002E-2</v>
      </c>
      <c r="J34" s="2">
        <v>15917.807388612604</v>
      </c>
      <c r="K34" s="9">
        <v>0.159</v>
      </c>
      <c r="L34" s="2">
        <v>26363.868487389624</v>
      </c>
      <c r="M34" s="9">
        <v>0.17100000000000001</v>
      </c>
      <c r="N34" s="2">
        <v>28353.594410966201</v>
      </c>
      <c r="O34" s="9">
        <v>0.20300000000000001</v>
      </c>
      <c r="P34" s="2">
        <v>33659.530207170399</v>
      </c>
      <c r="Q34" s="9">
        <v>0.19600000000000001</v>
      </c>
      <c r="R34" s="2">
        <v>32498.856751750733</v>
      </c>
      <c r="S34" s="9">
        <v>2.5600000000000005E-2</v>
      </c>
      <c r="T34" s="2">
        <v>4244.7486369633616</v>
      </c>
      <c r="U34" s="9">
        <v>4.1399999999999999E-2</v>
      </c>
      <c r="V34" s="2">
        <v>6864.5544363391846</v>
      </c>
    </row>
    <row r="35" spans="1:22" x14ac:dyDescent="0.55000000000000004">
      <c r="A35" t="s">
        <v>22</v>
      </c>
      <c r="B35" t="s">
        <v>116</v>
      </c>
      <c r="C35" t="s">
        <v>41</v>
      </c>
      <c r="E35" t="s">
        <v>123</v>
      </c>
      <c r="F35" s="2">
        <v>181324.9418411846</v>
      </c>
      <c r="G35" s="9">
        <v>8.9200000000000002E-2</v>
      </c>
      <c r="H35" s="2">
        <v>16174.184812233667</v>
      </c>
      <c r="I35" s="9">
        <v>7.8E-2</v>
      </c>
      <c r="J35" s="2">
        <v>14143.345463612399</v>
      </c>
      <c r="K35" s="9">
        <v>0.16700000000000001</v>
      </c>
      <c r="L35" s="2">
        <v>30281.265287477829</v>
      </c>
      <c r="M35" s="9">
        <v>0.20499999999999999</v>
      </c>
      <c r="N35" s="2">
        <v>37171.613077442838</v>
      </c>
      <c r="O35" s="9">
        <v>0.21000000000000002</v>
      </c>
      <c r="P35" s="2">
        <v>38078.237786648766</v>
      </c>
      <c r="Q35" s="9">
        <v>0.17199999999999999</v>
      </c>
      <c r="R35" s="2">
        <v>31187.889996683749</v>
      </c>
      <c r="S35" s="9">
        <v>3.0799999999999994E-2</v>
      </c>
      <c r="T35" s="2">
        <v>5584.8082087084849</v>
      </c>
      <c r="U35" s="9">
        <v>4.8000000000000001E-2</v>
      </c>
      <c r="V35" s="2">
        <v>8703.5972083768611</v>
      </c>
    </row>
    <row r="36" spans="1:22" x14ac:dyDescent="0.55000000000000004">
      <c r="A36" t="s">
        <v>24</v>
      </c>
      <c r="B36" t="s">
        <v>125</v>
      </c>
      <c r="C36" t="s">
        <v>42</v>
      </c>
      <c r="E36" t="s">
        <v>124</v>
      </c>
      <c r="F36" s="2">
        <v>78958.423999094666</v>
      </c>
      <c r="G36" s="9">
        <v>0.17699999999999999</v>
      </c>
      <c r="H36" s="2">
        <v>13975.641047839756</v>
      </c>
      <c r="I36" s="9">
        <v>0.13900000000000001</v>
      </c>
      <c r="J36" s="2">
        <v>10975.22093587416</v>
      </c>
      <c r="K36" s="9">
        <v>0.14069999999999999</v>
      </c>
      <c r="L36" s="2">
        <v>11109.450256672619</v>
      </c>
      <c r="M36" s="9">
        <v>0.13300000000000001</v>
      </c>
      <c r="N36" s="2">
        <v>10501.470391879591</v>
      </c>
      <c r="O36" s="9">
        <v>0.14899999999999999</v>
      </c>
      <c r="P36" s="2">
        <v>11764.805175865105</v>
      </c>
      <c r="Q36" s="9">
        <v>0.16900000000000001</v>
      </c>
      <c r="R36" s="2">
        <v>13343.973655846999</v>
      </c>
      <c r="S36" s="9">
        <v>3.7099999999999994E-2</v>
      </c>
      <c r="T36" s="2">
        <v>2929.3575303664115</v>
      </c>
      <c r="U36" s="9">
        <v>5.5199999999999999E-2</v>
      </c>
      <c r="V36" s="2">
        <v>4358.5050047500254</v>
      </c>
    </row>
    <row r="37" spans="1:22" x14ac:dyDescent="0.55000000000000004">
      <c r="A37" t="s">
        <v>24</v>
      </c>
      <c r="B37" t="s">
        <v>125</v>
      </c>
      <c r="C37" t="s">
        <v>43</v>
      </c>
      <c r="E37" t="s">
        <v>126</v>
      </c>
      <c r="F37" s="2">
        <v>395769.20287902671</v>
      </c>
      <c r="G37" s="9">
        <v>8.5400000000000004E-2</v>
      </c>
      <c r="H37" s="2">
        <v>33798.689925868879</v>
      </c>
      <c r="I37" s="9">
        <v>9.3399999999999997E-2</v>
      </c>
      <c r="J37" s="2">
        <v>36964.843548901095</v>
      </c>
      <c r="K37" s="9">
        <v>0.20280000000000001</v>
      </c>
      <c r="L37" s="2">
        <v>80261.994343866623</v>
      </c>
      <c r="M37" s="9">
        <v>0.21299999999999999</v>
      </c>
      <c r="N37" s="2">
        <v>84298.840213232688</v>
      </c>
      <c r="O37" s="9">
        <v>0.15600000000000003</v>
      </c>
      <c r="P37" s="2">
        <v>61739.995649128177</v>
      </c>
      <c r="Q37" s="9">
        <v>0.18</v>
      </c>
      <c r="R37" s="2">
        <v>71238.456518224804</v>
      </c>
      <c r="S37" s="9">
        <v>2.7000000000000003E-2</v>
      </c>
      <c r="T37" s="2">
        <v>10685.768477733722</v>
      </c>
      <c r="U37" s="9">
        <v>4.24E-2</v>
      </c>
      <c r="V37" s="2">
        <v>16780.614202070734</v>
      </c>
    </row>
    <row r="38" spans="1:22" x14ac:dyDescent="0.55000000000000004">
      <c r="A38" t="s">
        <v>24</v>
      </c>
      <c r="B38" t="s">
        <v>125</v>
      </c>
      <c r="C38" t="s">
        <v>44</v>
      </c>
      <c r="E38" t="s">
        <v>127</v>
      </c>
      <c r="F38" s="2">
        <v>185929.47509519989</v>
      </c>
      <c r="G38" s="9">
        <v>7.9600000000000004E-2</v>
      </c>
      <c r="H38" s="2">
        <v>14799.986217577913</v>
      </c>
      <c r="I38" s="9">
        <v>6.7799999999999999E-2</v>
      </c>
      <c r="J38" s="2">
        <v>12606.018411454552</v>
      </c>
      <c r="K38" s="9">
        <v>0.20219999999999999</v>
      </c>
      <c r="L38" s="2">
        <v>37594.939864249412</v>
      </c>
      <c r="M38" s="9">
        <v>0.23599999999999999</v>
      </c>
      <c r="N38" s="2">
        <v>43879.356122467172</v>
      </c>
      <c r="O38" s="9">
        <v>0.15400000000000003</v>
      </c>
      <c r="P38" s="2">
        <v>28633.139164660788</v>
      </c>
      <c r="Q38" s="9">
        <v>0.188</v>
      </c>
      <c r="R38" s="2">
        <v>34954.741317897577</v>
      </c>
      <c r="S38" s="9">
        <v>3.6700000000000003E-2</v>
      </c>
      <c r="T38" s="2">
        <v>6823.6117359938362</v>
      </c>
      <c r="U38" s="9">
        <v>3.5700000000000003E-2</v>
      </c>
      <c r="V38" s="2">
        <v>6637.6822608986367</v>
      </c>
    </row>
    <row r="39" spans="1:22" x14ac:dyDescent="0.55000000000000004">
      <c r="A39" t="s">
        <v>24</v>
      </c>
      <c r="B39" t="s">
        <v>125</v>
      </c>
      <c r="C39" t="s">
        <v>45</v>
      </c>
      <c r="E39" t="s">
        <v>128</v>
      </c>
      <c r="F39" s="2">
        <v>151603.99788066585</v>
      </c>
      <c r="G39" s="9">
        <v>0.11</v>
      </c>
      <c r="H39" s="2">
        <v>16676.439766873242</v>
      </c>
      <c r="I39" s="9">
        <v>8.6599999999999996E-2</v>
      </c>
      <c r="J39" s="2">
        <v>13128.906216465663</v>
      </c>
      <c r="K39" s="9">
        <v>0.1585</v>
      </c>
      <c r="L39" s="2">
        <v>24029.233664085536</v>
      </c>
      <c r="M39" s="9">
        <v>0.189</v>
      </c>
      <c r="N39" s="2">
        <v>28653.155599445847</v>
      </c>
      <c r="O39" s="9">
        <v>0.19399999999999998</v>
      </c>
      <c r="P39" s="2">
        <v>29411.175588849172</v>
      </c>
      <c r="Q39" s="9">
        <v>0.23</v>
      </c>
      <c r="R39" s="2">
        <v>34868.919512553148</v>
      </c>
      <c r="S39" s="9">
        <v>1.5699999999999999E-2</v>
      </c>
      <c r="T39" s="2">
        <v>2380.1827667264538</v>
      </c>
      <c r="U39" s="9">
        <v>1.6199999999999999E-2</v>
      </c>
      <c r="V39" s="2">
        <v>2455.9847656667866</v>
      </c>
    </row>
    <row r="40" spans="1:22" x14ac:dyDescent="0.55000000000000004">
      <c r="A40" t="s">
        <v>24</v>
      </c>
      <c r="B40" t="s">
        <v>125</v>
      </c>
      <c r="C40" t="s">
        <v>46</v>
      </c>
      <c r="E40" t="s">
        <v>129</v>
      </c>
      <c r="F40" s="2">
        <v>223172.85012132523</v>
      </c>
      <c r="G40" s="9">
        <v>0.10199999999999999</v>
      </c>
      <c r="H40" s="2">
        <v>22763.630712375172</v>
      </c>
      <c r="I40" s="9">
        <v>0.11600000000000001</v>
      </c>
      <c r="J40" s="2">
        <v>25888.050614073727</v>
      </c>
      <c r="K40" s="9">
        <v>0.191</v>
      </c>
      <c r="L40" s="2">
        <v>42626.014373173122</v>
      </c>
      <c r="M40" s="9">
        <v>0.193</v>
      </c>
      <c r="N40" s="2">
        <v>43072.360073415774</v>
      </c>
      <c r="O40" s="9">
        <v>0.17399999999999999</v>
      </c>
      <c r="P40" s="2">
        <v>38832.075921110591</v>
      </c>
      <c r="Q40" s="9">
        <v>0.18</v>
      </c>
      <c r="R40" s="2">
        <v>40171.113021838537</v>
      </c>
      <c r="S40" s="9">
        <v>2.18E-2</v>
      </c>
      <c r="T40" s="2">
        <v>4865.1681326448897</v>
      </c>
      <c r="U40" s="9">
        <v>2.2200000000000001E-2</v>
      </c>
      <c r="V40" s="2">
        <v>4954.4372726934207</v>
      </c>
    </row>
    <row r="41" spans="1:22" x14ac:dyDescent="0.55000000000000004">
      <c r="A41" t="s">
        <v>26</v>
      </c>
      <c r="B41" t="s">
        <v>131</v>
      </c>
      <c r="C41" t="s">
        <v>47</v>
      </c>
      <c r="E41" t="s">
        <v>130</v>
      </c>
      <c r="F41" s="2">
        <v>60349.392655369971</v>
      </c>
      <c r="G41" s="9">
        <v>9.9299999999999999E-2</v>
      </c>
      <c r="H41" s="2">
        <v>5992.6946906782377</v>
      </c>
      <c r="I41" s="9">
        <v>8.5199999999999998E-2</v>
      </c>
      <c r="J41" s="2">
        <v>5141.7682542375214</v>
      </c>
      <c r="K41" s="9">
        <v>0.1832</v>
      </c>
      <c r="L41" s="2">
        <v>11056.00873446378</v>
      </c>
      <c r="M41" s="9">
        <v>0.16</v>
      </c>
      <c r="N41" s="2">
        <v>9655.9028248591949</v>
      </c>
      <c r="O41" s="9">
        <v>0.19899999999999998</v>
      </c>
      <c r="P41" s="2">
        <v>12009.529138418624</v>
      </c>
      <c r="Q41" s="9">
        <v>0.23300000000000001</v>
      </c>
      <c r="R41" s="2">
        <v>14061.408488701203</v>
      </c>
      <c r="S41" s="9">
        <v>1.8200000000000001E-2</v>
      </c>
      <c r="T41" s="2">
        <v>1098.3589463277335</v>
      </c>
      <c r="U41" s="9">
        <v>2.2100000000000002E-2</v>
      </c>
      <c r="V41" s="2">
        <v>1333.7215776836765</v>
      </c>
    </row>
    <row r="42" spans="1:22" x14ac:dyDescent="0.55000000000000004">
      <c r="A42" t="s">
        <v>26</v>
      </c>
      <c r="B42" t="s">
        <v>131</v>
      </c>
      <c r="C42" t="s">
        <v>48</v>
      </c>
      <c r="E42" t="s">
        <v>132</v>
      </c>
      <c r="F42" s="2">
        <v>73878.466806889977</v>
      </c>
      <c r="G42" s="9">
        <v>0.11700000000000001</v>
      </c>
      <c r="H42" s="2">
        <v>8643.7806164061276</v>
      </c>
      <c r="I42" s="9">
        <v>0.1009</v>
      </c>
      <c r="J42" s="2">
        <v>7454.3373008151993</v>
      </c>
      <c r="K42" s="9">
        <v>0.18609999999999999</v>
      </c>
      <c r="L42" s="2">
        <v>13748.782672762223</v>
      </c>
      <c r="M42" s="9">
        <v>0.188</v>
      </c>
      <c r="N42" s="2">
        <v>13889.151759695316</v>
      </c>
      <c r="O42" s="9">
        <v>0.13899999999999998</v>
      </c>
      <c r="P42" s="2">
        <v>10269.106886157706</v>
      </c>
      <c r="Q42" s="9">
        <v>0.16500000000000001</v>
      </c>
      <c r="R42" s="2">
        <v>12189.947023136847</v>
      </c>
      <c r="S42" s="9">
        <v>4.6099999999999995E-2</v>
      </c>
      <c r="T42" s="2">
        <v>3405.7973197976276</v>
      </c>
      <c r="U42" s="9">
        <v>5.79E-2</v>
      </c>
      <c r="V42" s="2">
        <v>4277.5632281189301</v>
      </c>
    </row>
    <row r="43" spans="1:22" x14ac:dyDescent="0.55000000000000004">
      <c r="A43" t="s">
        <v>26</v>
      </c>
      <c r="B43" t="s">
        <v>131</v>
      </c>
      <c r="C43" t="s">
        <v>49</v>
      </c>
      <c r="E43" t="s">
        <v>133</v>
      </c>
      <c r="F43" s="2">
        <v>115157.92194971234</v>
      </c>
      <c r="G43" s="9">
        <v>8.6999999999999994E-2</v>
      </c>
      <c r="H43" s="2">
        <v>10018.739209624973</v>
      </c>
      <c r="I43" s="9">
        <v>7.1599999999999997E-2</v>
      </c>
      <c r="J43" s="2">
        <v>8245.3072115994037</v>
      </c>
      <c r="K43" s="9">
        <v>0.1714</v>
      </c>
      <c r="L43" s="2">
        <v>19738.067822180696</v>
      </c>
      <c r="M43" s="9">
        <v>0.20200000000000001</v>
      </c>
      <c r="N43" s="2">
        <v>23261.900233841894</v>
      </c>
      <c r="O43" s="9">
        <v>0.16400000000000003</v>
      </c>
      <c r="P43" s="2">
        <v>18885.899199752828</v>
      </c>
      <c r="Q43" s="9">
        <v>0.17799999999999999</v>
      </c>
      <c r="R43" s="2">
        <v>20498.110107048797</v>
      </c>
      <c r="S43" s="9">
        <v>3.2500000000000001E-2</v>
      </c>
      <c r="T43" s="2">
        <v>3742.6324633656513</v>
      </c>
      <c r="U43" s="9">
        <v>9.35E-2</v>
      </c>
      <c r="V43" s="2">
        <v>10767.265702298104</v>
      </c>
    </row>
    <row r="44" spans="1:22" x14ac:dyDescent="0.55000000000000004">
      <c r="A44" t="s">
        <v>26</v>
      </c>
      <c r="B44" t="s">
        <v>131</v>
      </c>
      <c r="C44" t="s">
        <v>50</v>
      </c>
      <c r="E44" t="s">
        <v>134</v>
      </c>
      <c r="F44" s="2">
        <v>86784.046568411359</v>
      </c>
      <c r="G44" s="9">
        <v>9.1499999999999998E-2</v>
      </c>
      <c r="H44" s="2">
        <v>7940.7402610096387</v>
      </c>
      <c r="I44" s="9">
        <v>8.4000000000000005E-2</v>
      </c>
      <c r="J44" s="2">
        <v>7289.8599117465546</v>
      </c>
      <c r="K44" s="9">
        <v>0.16699999999999998</v>
      </c>
      <c r="L44" s="2">
        <v>14492.935776924694</v>
      </c>
      <c r="M44" s="9">
        <v>0.182</v>
      </c>
      <c r="N44" s="2">
        <v>15794.696475450866</v>
      </c>
      <c r="O44" s="9">
        <v>0.19699999999999998</v>
      </c>
      <c r="P44" s="2">
        <v>17096.457173977036</v>
      </c>
      <c r="Q44" s="9">
        <v>0.22600000000000001</v>
      </c>
      <c r="R44" s="2">
        <v>19613.194524460967</v>
      </c>
      <c r="S44" s="9">
        <v>1.24E-2</v>
      </c>
      <c r="T44" s="2">
        <v>1076.1221774483008</v>
      </c>
      <c r="U44" s="9">
        <v>4.0099999999999997E-2</v>
      </c>
      <c r="V44" s="2">
        <v>3480.0402673932954</v>
      </c>
    </row>
    <row r="45" spans="1:22" x14ac:dyDescent="0.55000000000000004">
      <c r="A45" t="s">
        <v>26</v>
      </c>
      <c r="B45" t="s">
        <v>131</v>
      </c>
      <c r="C45" t="s">
        <v>51</v>
      </c>
      <c r="E45" t="s">
        <v>135</v>
      </c>
      <c r="F45" s="2">
        <v>74335.329925559607</v>
      </c>
      <c r="G45" s="9">
        <v>9.5600000000000004E-2</v>
      </c>
      <c r="H45" s="2">
        <v>7106.457540883499</v>
      </c>
      <c r="I45" s="9">
        <v>7.9399999999999998E-2</v>
      </c>
      <c r="J45" s="2">
        <v>5902.2251960894328</v>
      </c>
      <c r="K45" s="9">
        <v>0.20180000000000001</v>
      </c>
      <c r="L45" s="2">
        <v>15000.869578977929</v>
      </c>
      <c r="M45" s="9">
        <v>0.17599999999999999</v>
      </c>
      <c r="N45" s="2">
        <v>13083.01806689849</v>
      </c>
      <c r="O45" s="9">
        <v>0.17699999999999999</v>
      </c>
      <c r="P45" s="2">
        <v>13157.35339682405</v>
      </c>
      <c r="Q45" s="9">
        <v>0.17699999999999999</v>
      </c>
      <c r="R45" s="2">
        <v>13157.35339682405</v>
      </c>
      <c r="S45" s="9">
        <v>3.2200000000000006E-2</v>
      </c>
      <c r="T45" s="2">
        <v>2393.5976236030197</v>
      </c>
      <c r="U45" s="9">
        <v>6.0999999999999999E-2</v>
      </c>
      <c r="V45" s="2">
        <v>4534.4551254591361</v>
      </c>
    </row>
    <row r="46" spans="1:22" x14ac:dyDescent="0.55000000000000004">
      <c r="A46" t="s">
        <v>26</v>
      </c>
      <c r="B46" t="s">
        <v>131</v>
      </c>
      <c r="C46" t="s">
        <v>52</v>
      </c>
      <c r="E46" t="s">
        <v>136</v>
      </c>
      <c r="F46" s="2">
        <v>170251.42680984718</v>
      </c>
      <c r="G46" s="9">
        <v>0.11600000000000001</v>
      </c>
      <c r="H46" s="2">
        <v>19749.165509942275</v>
      </c>
      <c r="I46" s="9">
        <v>9.2899999999999996E-2</v>
      </c>
      <c r="J46" s="2">
        <v>15816.357550634802</v>
      </c>
      <c r="K46" s="9">
        <v>0.16599999999999998</v>
      </c>
      <c r="L46" s="2">
        <v>28261.73685043463</v>
      </c>
      <c r="M46" s="9">
        <v>0.19700000000000001</v>
      </c>
      <c r="N46" s="2">
        <v>33539.531081539899</v>
      </c>
      <c r="O46" s="9">
        <v>0.13600000000000001</v>
      </c>
      <c r="P46" s="2">
        <v>23154.194046139219</v>
      </c>
      <c r="Q46" s="9">
        <v>0.1361</v>
      </c>
      <c r="R46" s="2">
        <v>23171.2191888202</v>
      </c>
      <c r="S46" s="9">
        <v>7.4300000000000005E-2</v>
      </c>
      <c r="T46" s="2">
        <v>12649.681011971647</v>
      </c>
      <c r="U46" s="9">
        <v>8.1699999999999995E-2</v>
      </c>
      <c r="V46" s="2">
        <v>13909.541570364514</v>
      </c>
    </row>
    <row r="47" spans="1:22" x14ac:dyDescent="0.55000000000000004">
      <c r="A47" t="s">
        <v>26</v>
      </c>
      <c r="B47" t="s">
        <v>131</v>
      </c>
      <c r="C47" t="s">
        <v>53</v>
      </c>
      <c r="E47" t="s">
        <v>137</v>
      </c>
      <c r="F47" s="2">
        <v>126238.9889546662</v>
      </c>
      <c r="G47" s="9">
        <v>7.6200000000000004E-2</v>
      </c>
      <c r="H47" s="2">
        <v>9619.4109583455647</v>
      </c>
      <c r="I47" s="9">
        <v>9.9299999999999999E-2</v>
      </c>
      <c r="J47" s="2">
        <v>12535.531603198353</v>
      </c>
      <c r="K47" s="9">
        <v>0.1842</v>
      </c>
      <c r="L47" s="2">
        <v>23253.221765449514</v>
      </c>
      <c r="M47" s="9">
        <v>0.223</v>
      </c>
      <c r="N47" s="2">
        <v>28151.294536890564</v>
      </c>
      <c r="O47" s="9">
        <v>0.20900000000000002</v>
      </c>
      <c r="P47" s="2">
        <v>26383.948691525238</v>
      </c>
      <c r="Q47" s="9">
        <v>0.17199999999999999</v>
      </c>
      <c r="R47" s="2">
        <v>21713.106100202585</v>
      </c>
      <c r="S47" s="9">
        <v>3.0550000000000001E-2</v>
      </c>
      <c r="T47" s="2">
        <v>3856.6011125650525</v>
      </c>
      <c r="U47" s="9">
        <v>5.7499999999999999E-3</v>
      </c>
      <c r="V47" s="2">
        <v>725.87418648933067</v>
      </c>
    </row>
    <row r="48" spans="1:22" x14ac:dyDescent="0.55000000000000004">
      <c r="A48" t="s">
        <v>26</v>
      </c>
      <c r="B48" t="s">
        <v>131</v>
      </c>
      <c r="C48" t="s">
        <v>54</v>
      </c>
      <c r="E48" t="s">
        <v>138</v>
      </c>
      <c r="F48" s="2">
        <v>143831.91286329075</v>
      </c>
      <c r="G48" s="9">
        <v>0.123</v>
      </c>
      <c r="H48" s="2">
        <v>17691.325282184764</v>
      </c>
      <c r="I48" s="9">
        <v>9.6299999999999997E-2</v>
      </c>
      <c r="J48" s="2">
        <v>13851.013208734899</v>
      </c>
      <c r="K48" s="9">
        <v>0.17</v>
      </c>
      <c r="L48" s="2">
        <v>24451.425186759428</v>
      </c>
      <c r="M48" s="9">
        <v>0.16700000000000001</v>
      </c>
      <c r="N48" s="2">
        <v>24019.929448169558</v>
      </c>
      <c r="O48" s="9">
        <v>0.17499999999999999</v>
      </c>
      <c r="P48" s="2">
        <v>25170.584751075879</v>
      </c>
      <c r="Q48" s="9">
        <v>0.192</v>
      </c>
      <c r="R48" s="2">
        <v>27615.727269751824</v>
      </c>
      <c r="S48" s="9">
        <v>2.9600000000000001E-2</v>
      </c>
      <c r="T48" s="2">
        <v>4257.4246207534061</v>
      </c>
      <c r="U48" s="9">
        <v>4.7100000000000003E-2</v>
      </c>
      <c r="V48" s="2">
        <v>6774.4830958609946</v>
      </c>
    </row>
    <row r="49" spans="1:22" x14ac:dyDescent="0.55000000000000004">
      <c r="A49" t="s">
        <v>26</v>
      </c>
      <c r="B49" t="s">
        <v>131</v>
      </c>
      <c r="C49" t="s">
        <v>55</v>
      </c>
      <c r="E49" t="s">
        <v>139</v>
      </c>
      <c r="F49" s="2">
        <v>361801.88119399897</v>
      </c>
      <c r="G49" s="9">
        <v>0.10199999999999999</v>
      </c>
      <c r="H49" s="2">
        <v>36903.791881787889</v>
      </c>
      <c r="I49" s="9">
        <v>9.9199999999999997E-2</v>
      </c>
      <c r="J49" s="2">
        <v>35890.746614444695</v>
      </c>
      <c r="K49" s="9">
        <v>0.161</v>
      </c>
      <c r="L49" s="2">
        <v>58250.102872233838</v>
      </c>
      <c r="M49" s="9">
        <v>0.16719999999999999</v>
      </c>
      <c r="N49" s="2">
        <v>60493.274535636621</v>
      </c>
      <c r="O49" s="9">
        <v>0.193</v>
      </c>
      <c r="P49" s="2">
        <v>69827.763070441797</v>
      </c>
      <c r="Q49" s="9">
        <v>0.186</v>
      </c>
      <c r="R49" s="2">
        <v>67295.149902083809</v>
      </c>
      <c r="S49" s="9">
        <v>3.8100000000000002E-2</v>
      </c>
      <c r="T49" s="2">
        <v>13784.651673491362</v>
      </c>
      <c r="U49" s="9">
        <v>5.3499999999999999E-2</v>
      </c>
      <c r="V49" s="2">
        <v>19356.400643878944</v>
      </c>
    </row>
    <row r="50" spans="1:22" x14ac:dyDescent="0.55000000000000004">
      <c r="A50" t="s">
        <v>28</v>
      </c>
      <c r="B50" t="s">
        <v>141</v>
      </c>
      <c r="C50" t="s">
        <v>56</v>
      </c>
      <c r="E50" t="s">
        <v>140</v>
      </c>
      <c r="F50" s="2">
        <v>76144.96422076739</v>
      </c>
      <c r="G50" s="9">
        <v>7.6499999999999999E-2</v>
      </c>
      <c r="H50" s="2">
        <v>5825.0897628887051</v>
      </c>
      <c r="I50" s="9">
        <v>5.7500000000000002E-2</v>
      </c>
      <c r="J50" s="2">
        <v>4378.335442694125</v>
      </c>
      <c r="K50" s="9">
        <v>0.251</v>
      </c>
      <c r="L50" s="2">
        <v>19112.386019412614</v>
      </c>
      <c r="M50" s="9">
        <v>0.22600000000000001</v>
      </c>
      <c r="N50" s="2">
        <v>17208.761913893431</v>
      </c>
      <c r="O50" s="9">
        <v>0.15199999999999997</v>
      </c>
      <c r="P50" s="2">
        <v>11574.03456155664</v>
      </c>
      <c r="Q50" s="9">
        <v>0.13500000000000001</v>
      </c>
      <c r="R50" s="2">
        <v>10279.570169803599</v>
      </c>
      <c r="S50" s="9">
        <v>5.609999999999999E-2</v>
      </c>
      <c r="T50" s="2">
        <v>4271.7324927850495</v>
      </c>
      <c r="U50" s="9">
        <v>4.5900000000000003E-2</v>
      </c>
      <c r="V50" s="2">
        <v>3495.0538577332236</v>
      </c>
    </row>
    <row r="51" spans="1:22" x14ac:dyDescent="0.55000000000000004">
      <c r="A51" t="s">
        <v>28</v>
      </c>
      <c r="B51" t="s">
        <v>141</v>
      </c>
      <c r="C51" t="s">
        <v>57</v>
      </c>
      <c r="E51" t="s">
        <v>142</v>
      </c>
      <c r="F51" s="2">
        <v>83775.09532210129</v>
      </c>
      <c r="G51" s="9">
        <v>0.10299999999999999</v>
      </c>
      <c r="H51" s="2">
        <v>8628.8348181764322</v>
      </c>
      <c r="I51" s="9">
        <v>8.5999999999999993E-2</v>
      </c>
      <c r="J51" s="2">
        <v>7204.6581977007099</v>
      </c>
      <c r="K51" s="9">
        <v>0.19199999999999998</v>
      </c>
      <c r="L51" s="2">
        <v>16084.818301843445</v>
      </c>
      <c r="M51" s="9">
        <v>0.16400000000000001</v>
      </c>
      <c r="N51" s="2">
        <v>13739.115632824612</v>
      </c>
      <c r="O51" s="9">
        <v>0.124</v>
      </c>
      <c r="P51" s="2">
        <v>10388.111819940559</v>
      </c>
      <c r="Q51" s="9">
        <v>0.17399999999999999</v>
      </c>
      <c r="R51" s="2">
        <v>14576.866586045624</v>
      </c>
      <c r="S51" s="9">
        <v>0.05</v>
      </c>
      <c r="T51" s="2">
        <v>4188.7547661050648</v>
      </c>
      <c r="U51" s="9">
        <v>0.107</v>
      </c>
      <c r="V51" s="2">
        <v>8963.9351994648387</v>
      </c>
    </row>
    <row r="52" spans="1:22" x14ac:dyDescent="0.55000000000000004">
      <c r="A52" t="s">
        <v>28</v>
      </c>
      <c r="B52" t="s">
        <v>141</v>
      </c>
      <c r="C52" t="s">
        <v>58</v>
      </c>
      <c r="E52" t="s">
        <v>143</v>
      </c>
      <c r="F52" s="2">
        <v>80526.444692712932</v>
      </c>
      <c r="G52" s="9">
        <v>0.11799999999999999</v>
      </c>
      <c r="H52" s="2">
        <v>9502.1204737401258</v>
      </c>
      <c r="I52" s="9">
        <v>8.4199999999999997E-2</v>
      </c>
      <c r="J52" s="2">
        <v>6780.3266431264283</v>
      </c>
      <c r="K52" s="9">
        <v>0.17449999999999999</v>
      </c>
      <c r="L52" s="2">
        <v>14051.864598878406</v>
      </c>
      <c r="M52" s="9">
        <v>0.17599999999999999</v>
      </c>
      <c r="N52" s="2">
        <v>14172.654265917476</v>
      </c>
      <c r="O52" s="9">
        <v>0.17900000000000002</v>
      </c>
      <c r="P52" s="2">
        <v>14414.233599995616</v>
      </c>
      <c r="Q52" s="9">
        <v>0.20899999999999999</v>
      </c>
      <c r="R52" s="2">
        <v>16830.026940777003</v>
      </c>
      <c r="S52" s="9">
        <v>2.1999999999999999E-2</v>
      </c>
      <c r="T52" s="2">
        <v>1771.5817832396845</v>
      </c>
      <c r="U52" s="9">
        <v>3.73E-2</v>
      </c>
      <c r="V52" s="2">
        <v>3003.6363870381924</v>
      </c>
    </row>
    <row r="53" spans="1:22" x14ac:dyDescent="0.55000000000000004">
      <c r="A53" t="s">
        <v>28</v>
      </c>
      <c r="B53" t="s">
        <v>141</v>
      </c>
      <c r="C53" t="s">
        <v>59</v>
      </c>
      <c r="E53" t="s">
        <v>144</v>
      </c>
      <c r="F53" s="2">
        <v>350741.75235790457</v>
      </c>
      <c r="G53" s="9">
        <v>0.113</v>
      </c>
      <c r="H53" s="2">
        <v>39633.81801644322</v>
      </c>
      <c r="I53" s="9">
        <v>0.11799999999999999</v>
      </c>
      <c r="J53" s="2">
        <v>41387.526778232736</v>
      </c>
      <c r="K53" s="9">
        <v>0.16550000000000001</v>
      </c>
      <c r="L53" s="2">
        <v>58047.760015233209</v>
      </c>
      <c r="M53" s="9">
        <v>0.183</v>
      </c>
      <c r="N53" s="2">
        <v>64185.740681496536</v>
      </c>
      <c r="O53" s="9">
        <v>0.16199999999999998</v>
      </c>
      <c r="P53" s="2">
        <v>56820.16388198053</v>
      </c>
      <c r="Q53" s="9">
        <v>0.19</v>
      </c>
      <c r="R53" s="2">
        <v>66640.932948001864</v>
      </c>
      <c r="S53" s="9">
        <v>3.0200000000000005E-2</v>
      </c>
      <c r="T53" s="2">
        <v>10592.40092120872</v>
      </c>
      <c r="U53" s="9">
        <v>3.8300000000000001E-2</v>
      </c>
      <c r="V53" s="2">
        <v>13433.409115307744</v>
      </c>
    </row>
    <row r="54" spans="1:22" x14ac:dyDescent="0.55000000000000004">
      <c r="A54" t="s">
        <v>28</v>
      </c>
      <c r="B54" t="s">
        <v>141</v>
      </c>
      <c r="C54" t="s">
        <v>60</v>
      </c>
      <c r="E54" t="s">
        <v>145</v>
      </c>
      <c r="F54" s="2">
        <v>84550.247759999998</v>
      </c>
      <c r="G54" s="9">
        <v>8.0399999999999999E-2</v>
      </c>
      <c r="H54" s="2">
        <v>6797.8399199039995</v>
      </c>
      <c r="I54" s="9">
        <v>8.4900000000000003E-2</v>
      </c>
      <c r="J54" s="2">
        <v>7178.3160348239999</v>
      </c>
      <c r="K54" s="9">
        <v>0.20399999999999999</v>
      </c>
      <c r="L54" s="2">
        <v>17248.250543039998</v>
      </c>
      <c r="M54" s="9">
        <v>0.20749999999999999</v>
      </c>
      <c r="N54" s="2">
        <v>17544.176410199998</v>
      </c>
      <c r="O54" s="9">
        <v>0.18899999999999997</v>
      </c>
      <c r="P54" s="2">
        <v>15979.996826639997</v>
      </c>
      <c r="Q54" s="9">
        <v>0.17100000000000001</v>
      </c>
      <c r="R54" s="2">
        <v>14458.092366960002</v>
      </c>
      <c r="S54" s="9">
        <v>2.6500000000000003E-2</v>
      </c>
      <c r="T54" s="2">
        <v>2240.58156564</v>
      </c>
      <c r="U54" s="9">
        <v>3.6700000000000003E-2</v>
      </c>
      <c r="V54" s="2">
        <v>3102.9940927920002</v>
      </c>
    </row>
    <row r="55" spans="1:22" x14ac:dyDescent="0.55000000000000004">
      <c r="A55" t="s">
        <v>28</v>
      </c>
      <c r="B55" t="s">
        <v>141</v>
      </c>
      <c r="C55" t="s">
        <v>61</v>
      </c>
      <c r="E55" t="s">
        <v>146</v>
      </c>
      <c r="F55" s="2">
        <v>147822.56093925959</v>
      </c>
      <c r="G55" s="9">
        <v>0.14000000000000001</v>
      </c>
      <c r="H55" s="2">
        <v>20695.158531496345</v>
      </c>
      <c r="I55" s="9">
        <v>9.8100000000000007E-2</v>
      </c>
      <c r="J55" s="2">
        <v>14501.393228141367</v>
      </c>
      <c r="K55" s="9">
        <v>0.17810000000000001</v>
      </c>
      <c r="L55" s="2">
        <v>26327.198103282135</v>
      </c>
      <c r="M55" s="9">
        <v>0.129</v>
      </c>
      <c r="N55" s="2">
        <v>19069.110361164487</v>
      </c>
      <c r="O55" s="9">
        <v>0.183</v>
      </c>
      <c r="P55" s="2">
        <v>27051.528651884506</v>
      </c>
      <c r="Q55" s="9">
        <v>0.192</v>
      </c>
      <c r="R55" s="2">
        <v>28381.931700337842</v>
      </c>
      <c r="S55" s="9">
        <v>3.1399999999999997E-2</v>
      </c>
      <c r="T55" s="2">
        <v>4641.628413492751</v>
      </c>
      <c r="U55" s="9">
        <v>4.8399999999999999E-2</v>
      </c>
      <c r="V55" s="2">
        <v>7154.6119494601644</v>
      </c>
    </row>
    <row r="56" spans="1:22" x14ac:dyDescent="0.55000000000000004">
      <c r="A56" t="s">
        <v>28</v>
      </c>
      <c r="B56" t="s">
        <v>141</v>
      </c>
      <c r="C56" t="s">
        <v>62</v>
      </c>
      <c r="E56" t="s">
        <v>147</v>
      </c>
      <c r="F56" s="2">
        <v>204041.08946201287</v>
      </c>
      <c r="G56" s="9">
        <v>4.1799999999999997E-2</v>
      </c>
      <c r="H56" s="2">
        <v>8528.9175395121365</v>
      </c>
      <c r="I56" s="9">
        <v>3.1E-2</v>
      </c>
      <c r="J56" s="2">
        <v>6325.2737733223985</v>
      </c>
      <c r="K56" s="9">
        <v>9.1800000000000007E-2</v>
      </c>
      <c r="L56" s="2">
        <v>18730.972012612783</v>
      </c>
      <c r="M56" s="9">
        <v>6.7400000000000002E-2</v>
      </c>
      <c r="N56" s="2">
        <v>13752.369429739667</v>
      </c>
      <c r="O56" s="9">
        <v>0.30000000000000004</v>
      </c>
      <c r="P56" s="2">
        <v>61212.326838603869</v>
      </c>
      <c r="Q56" s="9">
        <v>0.255</v>
      </c>
      <c r="R56" s="2">
        <v>52030.477812813282</v>
      </c>
      <c r="S56" s="9">
        <v>0.16200000000000001</v>
      </c>
      <c r="T56" s="2">
        <v>33054.656492846087</v>
      </c>
      <c r="U56" s="9">
        <v>5.0999999999999997E-2</v>
      </c>
      <c r="V56" s="2">
        <v>10406.095562562656</v>
      </c>
    </row>
    <row r="57" spans="1:22" x14ac:dyDescent="0.55000000000000004">
      <c r="A57" t="s">
        <v>28</v>
      </c>
      <c r="B57" t="s">
        <v>141</v>
      </c>
      <c r="C57" t="s">
        <v>63</v>
      </c>
      <c r="E57" t="s">
        <v>148</v>
      </c>
      <c r="F57" s="2">
        <v>83853.259922734011</v>
      </c>
      <c r="G57" s="9">
        <v>0.10299999999999999</v>
      </c>
      <c r="H57" s="2">
        <v>8636.8857720416017</v>
      </c>
      <c r="I57" s="9">
        <v>9.6299999999999997E-2</v>
      </c>
      <c r="J57" s="2">
        <v>8075.068930559285</v>
      </c>
      <c r="K57" s="9">
        <v>0.105</v>
      </c>
      <c r="L57" s="2">
        <v>8804.592291887071</v>
      </c>
      <c r="M57" s="9">
        <v>0.111</v>
      </c>
      <c r="N57" s="2">
        <v>9307.7118514234753</v>
      </c>
      <c r="O57" s="9">
        <v>0.26850000000000002</v>
      </c>
      <c r="P57" s="2">
        <v>22514.600289254082</v>
      </c>
      <c r="Q57" s="9">
        <v>0.246</v>
      </c>
      <c r="R57" s="2">
        <v>20627.901940992568</v>
      </c>
      <c r="S57" s="9">
        <v>3.5400000000000001E-2</v>
      </c>
      <c r="T57" s="2">
        <v>2968.4054012647839</v>
      </c>
      <c r="U57" s="9">
        <v>3.4799999999999998E-2</v>
      </c>
      <c r="V57" s="2">
        <v>2918.0934453111436</v>
      </c>
    </row>
    <row r="58" spans="1:22" x14ac:dyDescent="0.55000000000000004">
      <c r="A58" t="s">
        <v>28</v>
      </c>
      <c r="B58" t="s">
        <v>141</v>
      </c>
      <c r="C58" t="s">
        <v>64</v>
      </c>
      <c r="E58" t="s">
        <v>149</v>
      </c>
      <c r="F58" s="2">
        <v>134054.23712139038</v>
      </c>
      <c r="G58" s="9">
        <v>0.10299999999999999</v>
      </c>
      <c r="H58" s="2">
        <v>13807.58642350321</v>
      </c>
      <c r="I58" s="9">
        <v>0.104</v>
      </c>
      <c r="J58" s="2">
        <v>13941.640660624598</v>
      </c>
      <c r="K58" s="9">
        <v>0.22199999999999998</v>
      </c>
      <c r="L58" s="2">
        <v>29760.04064094866</v>
      </c>
      <c r="M58" s="9">
        <v>0.18870000000000001</v>
      </c>
      <c r="N58" s="2">
        <v>25296.034544806367</v>
      </c>
      <c r="O58" s="9">
        <v>0.16600000000000004</v>
      </c>
      <c r="P58" s="2">
        <v>22253.003362150808</v>
      </c>
      <c r="Q58" s="9">
        <v>0.17499999999999999</v>
      </c>
      <c r="R58" s="2">
        <v>23459.491496243314</v>
      </c>
      <c r="S58" s="9">
        <v>1.1400000000000004E-2</v>
      </c>
      <c r="T58" s="2">
        <v>1528.2183031838508</v>
      </c>
      <c r="U58" s="9">
        <v>2.9899999999999999E-2</v>
      </c>
      <c r="V58" s="2">
        <v>4008.2216899295722</v>
      </c>
    </row>
    <row r="59" spans="1:22" x14ac:dyDescent="0.55000000000000004">
      <c r="A59" t="s">
        <v>28</v>
      </c>
      <c r="B59" t="s">
        <v>141</v>
      </c>
      <c r="C59" t="s">
        <v>65</v>
      </c>
      <c r="E59" t="s">
        <v>150</v>
      </c>
      <c r="F59" s="2">
        <v>69655.517722905075</v>
      </c>
      <c r="G59" s="9">
        <v>3.3300000000000003E-2</v>
      </c>
      <c r="H59" s="2">
        <v>2319.5287401727392</v>
      </c>
      <c r="I59" s="9">
        <v>3.0300000000000001E-2</v>
      </c>
      <c r="J59" s="2">
        <v>2110.5621870040236</v>
      </c>
      <c r="K59" s="9">
        <v>0.10730000000000001</v>
      </c>
      <c r="L59" s="2">
        <v>7474.0370516677149</v>
      </c>
      <c r="M59" s="9">
        <v>6.6100000000000006E-2</v>
      </c>
      <c r="N59" s="2">
        <v>4604.2297214840255</v>
      </c>
      <c r="O59" s="9">
        <v>0.29399999999999998</v>
      </c>
      <c r="P59" s="2">
        <v>20478.722210534092</v>
      </c>
      <c r="Q59" s="9">
        <v>0.19500000000000001</v>
      </c>
      <c r="R59" s="2">
        <v>13582.825955966489</v>
      </c>
      <c r="S59" s="9">
        <v>0.14700000000000002</v>
      </c>
      <c r="T59" s="2">
        <v>10239.361105267048</v>
      </c>
      <c r="U59" s="9">
        <v>0.127</v>
      </c>
      <c r="V59" s="2">
        <v>8846.2507508089438</v>
      </c>
    </row>
    <row r="60" spans="1:22" x14ac:dyDescent="0.55000000000000004">
      <c r="A60" t="s">
        <v>28</v>
      </c>
      <c r="B60" t="s">
        <v>141</v>
      </c>
      <c r="C60" t="s">
        <v>66</v>
      </c>
      <c r="E60" t="s">
        <v>151</v>
      </c>
      <c r="F60" s="2">
        <v>210350.86679748201</v>
      </c>
      <c r="G60" s="9">
        <v>9.6100000000000005E-2</v>
      </c>
      <c r="H60" s="2">
        <v>20214.718299238022</v>
      </c>
      <c r="I60" s="9">
        <v>8.0600000000000005E-2</v>
      </c>
      <c r="J60" s="2">
        <v>16954.279863877051</v>
      </c>
      <c r="K60" s="9">
        <v>0.22699999999999998</v>
      </c>
      <c r="L60" s="2">
        <v>47749.64676302841</v>
      </c>
      <c r="M60" s="9">
        <v>0.18</v>
      </c>
      <c r="N60" s="2">
        <v>37863.156023546762</v>
      </c>
      <c r="O60" s="9">
        <v>0.17180000000000001</v>
      </c>
      <c r="P60" s="2">
        <v>36138.278915807408</v>
      </c>
      <c r="Q60" s="9">
        <v>0.17399999999999999</v>
      </c>
      <c r="R60" s="2">
        <v>36601.05082276187</v>
      </c>
      <c r="S60" s="9">
        <v>3.4999999999999996E-2</v>
      </c>
      <c r="T60" s="2">
        <v>7362.2803379118695</v>
      </c>
      <c r="U60" s="9">
        <v>3.5499999999999997E-2</v>
      </c>
      <c r="V60" s="2">
        <v>7467.4557713106105</v>
      </c>
    </row>
    <row r="61" spans="1:22" x14ac:dyDescent="0.55000000000000004">
      <c r="A61" t="s">
        <v>28</v>
      </c>
      <c r="B61" t="s">
        <v>141</v>
      </c>
      <c r="C61" t="s">
        <v>67</v>
      </c>
      <c r="E61" t="s">
        <v>152</v>
      </c>
      <c r="F61" s="2">
        <v>167264.95388549785</v>
      </c>
      <c r="G61" s="9">
        <v>7.8700000000000006E-2</v>
      </c>
      <c r="H61" s="2">
        <v>13163.751870788681</v>
      </c>
      <c r="I61" s="9">
        <v>6.4500000000000002E-2</v>
      </c>
      <c r="J61" s="2">
        <v>10788.58952561461</v>
      </c>
      <c r="K61" s="9">
        <v>0.17299999999999999</v>
      </c>
      <c r="L61" s="2">
        <v>28936.837022191125</v>
      </c>
      <c r="M61" s="9">
        <v>0.19700000000000001</v>
      </c>
      <c r="N61" s="2">
        <v>32951.195915443081</v>
      </c>
      <c r="O61" s="9">
        <v>0.19389999999999999</v>
      </c>
      <c r="P61" s="2">
        <v>32432.67455839803</v>
      </c>
      <c r="Q61" s="9">
        <v>0.20799999999999999</v>
      </c>
      <c r="R61" s="2">
        <v>34791.110408183551</v>
      </c>
      <c r="S61" s="9">
        <v>3.3600000000000005E-2</v>
      </c>
      <c r="T61" s="2">
        <v>5620.1024505527284</v>
      </c>
      <c r="U61" s="9">
        <v>5.1299999999999998E-2</v>
      </c>
      <c r="V61" s="2">
        <v>8580.6921343260401</v>
      </c>
    </row>
    <row r="62" spans="1:22" x14ac:dyDescent="0.55000000000000004">
      <c r="A62" t="s">
        <v>30</v>
      </c>
      <c r="B62" t="s">
        <v>154</v>
      </c>
      <c r="C62" t="s">
        <v>68</v>
      </c>
      <c r="E62" t="s">
        <v>153</v>
      </c>
      <c r="F62" s="2">
        <v>138792.54091966676</v>
      </c>
      <c r="G62" s="9">
        <v>9.1399999999999995E-2</v>
      </c>
      <c r="H62" s="2">
        <v>12685.638240057542</v>
      </c>
      <c r="I62" s="9">
        <v>9.0999999999999998E-2</v>
      </c>
      <c r="J62" s="2">
        <v>12630.121223689675</v>
      </c>
      <c r="K62" s="9">
        <v>0.19400000000000001</v>
      </c>
      <c r="L62" s="2">
        <v>26925.752938415353</v>
      </c>
      <c r="M62" s="9">
        <v>0.18240000000000001</v>
      </c>
      <c r="N62" s="2">
        <v>25315.759463747218</v>
      </c>
      <c r="O62" s="9">
        <v>0.19099999999999998</v>
      </c>
      <c r="P62" s="2">
        <v>26509.375315656347</v>
      </c>
      <c r="Q62" s="9">
        <v>0.16800000000000001</v>
      </c>
      <c r="R62" s="2">
        <v>23317.146874504018</v>
      </c>
      <c r="S62" s="9">
        <v>3.5699999999999996E-2</v>
      </c>
      <c r="T62" s="2">
        <v>4954.8937108321024</v>
      </c>
      <c r="U62" s="9">
        <v>4.65E-2</v>
      </c>
      <c r="V62" s="2">
        <v>6453.8531527645046</v>
      </c>
    </row>
    <row r="63" spans="1:22" x14ac:dyDescent="0.55000000000000004">
      <c r="A63" t="s">
        <v>30</v>
      </c>
      <c r="B63" t="s">
        <v>154</v>
      </c>
      <c r="C63" t="s">
        <v>69</v>
      </c>
      <c r="E63" t="s">
        <v>155</v>
      </c>
      <c r="F63" s="2">
        <v>347953.04166178964</v>
      </c>
      <c r="G63" s="9">
        <v>8.3900000000000002E-2</v>
      </c>
      <c r="H63" s="2">
        <v>29193.260195424151</v>
      </c>
      <c r="I63" s="9">
        <v>6.7000000000000004E-2</v>
      </c>
      <c r="J63" s="2">
        <v>23312.853791339909</v>
      </c>
      <c r="K63" s="9">
        <v>0.21809999999999999</v>
      </c>
      <c r="L63" s="2">
        <v>75888.558386436314</v>
      </c>
      <c r="M63" s="9">
        <v>0.189</v>
      </c>
      <c r="N63" s="2">
        <v>65763.124874078247</v>
      </c>
      <c r="O63" s="9">
        <v>0.193</v>
      </c>
      <c r="P63" s="2">
        <v>67154.937040725403</v>
      </c>
      <c r="Q63" s="9">
        <v>0.184</v>
      </c>
      <c r="R63" s="2">
        <v>64023.359665769291</v>
      </c>
      <c r="S63" s="9">
        <v>2.2200000000000004E-2</v>
      </c>
      <c r="T63" s="2">
        <v>7724.5575248917312</v>
      </c>
      <c r="U63" s="9">
        <v>4.2799999999999998E-2</v>
      </c>
      <c r="V63" s="2">
        <v>14892.390183124597</v>
      </c>
    </row>
    <row r="64" spans="1:22" x14ac:dyDescent="0.55000000000000004">
      <c r="A64" t="s">
        <v>30</v>
      </c>
      <c r="B64" t="s">
        <v>154</v>
      </c>
      <c r="C64" t="s">
        <v>70</v>
      </c>
      <c r="E64" t="s">
        <v>156</v>
      </c>
      <c r="F64" s="2">
        <v>190959.08546222714</v>
      </c>
      <c r="G64" s="9">
        <v>8.1199999999999994E-2</v>
      </c>
      <c r="H64" s="2">
        <v>15505.877739532843</v>
      </c>
      <c r="I64" s="9">
        <v>7.9799999999999996E-2</v>
      </c>
      <c r="J64" s="2">
        <v>15238.535019885725</v>
      </c>
      <c r="K64" s="9">
        <v>0.21240000000000001</v>
      </c>
      <c r="L64" s="2">
        <v>40559.709752177048</v>
      </c>
      <c r="M64" s="9">
        <v>0.19500000000000001</v>
      </c>
      <c r="N64" s="2">
        <v>37237.021665134293</v>
      </c>
      <c r="O64" s="9">
        <v>0.21</v>
      </c>
      <c r="P64" s="2">
        <v>40101.407947067695</v>
      </c>
      <c r="Q64" s="9">
        <v>0.153</v>
      </c>
      <c r="R64" s="2">
        <v>29216.740075720751</v>
      </c>
      <c r="S64" s="9">
        <v>4.6099999999999995E-2</v>
      </c>
      <c r="T64" s="2">
        <v>8803.2138398086699</v>
      </c>
      <c r="U64" s="9">
        <v>2.2499999999999999E-2</v>
      </c>
      <c r="V64" s="2">
        <v>4296.5794229001103</v>
      </c>
    </row>
    <row r="65" spans="1:22" x14ac:dyDescent="0.55000000000000004">
      <c r="A65" t="s">
        <v>30</v>
      </c>
      <c r="B65" t="s">
        <v>154</v>
      </c>
      <c r="C65" t="s">
        <v>71</v>
      </c>
      <c r="E65" t="s">
        <v>157</v>
      </c>
      <c r="F65" s="2">
        <v>271487.43878408574</v>
      </c>
      <c r="G65" s="9">
        <v>7.5800000000000006E-2</v>
      </c>
      <c r="H65" s="2">
        <v>20578.7478598337</v>
      </c>
      <c r="I65" s="9">
        <v>8.3900000000000002E-2</v>
      </c>
      <c r="J65" s="2">
        <v>22777.796113984794</v>
      </c>
      <c r="K65" s="9">
        <v>0.18099999999999999</v>
      </c>
      <c r="L65" s="2">
        <v>49139.22641991952</v>
      </c>
      <c r="M65" s="9">
        <v>0.17299999999999999</v>
      </c>
      <c r="N65" s="2">
        <v>46967.326909646828</v>
      </c>
      <c r="O65" s="9">
        <v>0.184</v>
      </c>
      <c r="P65" s="2">
        <v>49953.688736271775</v>
      </c>
      <c r="Q65" s="9">
        <v>0.184</v>
      </c>
      <c r="R65" s="2">
        <v>49953.688736271775</v>
      </c>
      <c r="S65" s="9">
        <v>4.9099999999999998E-2</v>
      </c>
      <c r="T65" s="2">
        <v>13330.033244298609</v>
      </c>
      <c r="U65" s="9">
        <v>6.9199999999999998E-2</v>
      </c>
      <c r="V65" s="2">
        <v>18786.930763858731</v>
      </c>
    </row>
    <row r="66" spans="1:22" x14ac:dyDescent="0.55000000000000004">
      <c r="A66" t="s">
        <v>30</v>
      </c>
      <c r="B66" t="s">
        <v>154</v>
      </c>
      <c r="C66" t="s">
        <v>72</v>
      </c>
      <c r="E66" t="s">
        <v>158</v>
      </c>
      <c r="F66" s="2">
        <v>126288.73837742697</v>
      </c>
      <c r="G66" s="9">
        <v>6.9699999999999998E-2</v>
      </c>
      <c r="H66" s="2">
        <v>8802.3250649066595</v>
      </c>
      <c r="I66" s="9">
        <v>8.2500000000000004E-2</v>
      </c>
      <c r="J66" s="2">
        <v>10418.820916137725</v>
      </c>
      <c r="K66" s="9">
        <v>0.185</v>
      </c>
      <c r="L66" s="2">
        <v>23363.416599823988</v>
      </c>
      <c r="M66" s="9">
        <v>0.19850000000000001</v>
      </c>
      <c r="N66" s="2">
        <v>25068.314567919253</v>
      </c>
      <c r="O66" s="9">
        <v>0.20900000000000002</v>
      </c>
      <c r="P66" s="2">
        <v>26394.34632088224</v>
      </c>
      <c r="Q66" s="9">
        <v>0.185</v>
      </c>
      <c r="R66" s="2">
        <v>23363.416599823988</v>
      </c>
      <c r="S66" s="9">
        <v>5.1400000000000001E-2</v>
      </c>
      <c r="T66" s="2">
        <v>6491.2411525997468</v>
      </c>
      <c r="U66" s="9">
        <v>1.89E-2</v>
      </c>
      <c r="V66" s="2">
        <v>2386.8571553333695</v>
      </c>
    </row>
    <row r="67" spans="1:22" x14ac:dyDescent="0.55000000000000004">
      <c r="A67" t="s">
        <v>30</v>
      </c>
      <c r="B67" t="s">
        <v>154</v>
      </c>
      <c r="C67" t="s">
        <v>73</v>
      </c>
      <c r="E67" t="s">
        <v>159</v>
      </c>
      <c r="F67" s="2">
        <v>291674.90537201904</v>
      </c>
      <c r="G67" s="9">
        <v>8.4000000000000005E-2</v>
      </c>
      <c r="H67" s="2">
        <v>24500.6920512496</v>
      </c>
      <c r="I67" s="9">
        <v>5.9499999999999997E-2</v>
      </c>
      <c r="J67" s="2">
        <v>17354.656869635131</v>
      </c>
      <c r="K67" s="9">
        <v>0.20299999999999999</v>
      </c>
      <c r="L67" s="2">
        <v>59210.005790519863</v>
      </c>
      <c r="M67" s="9">
        <v>0.219</v>
      </c>
      <c r="N67" s="2">
        <v>63876.804276472169</v>
      </c>
      <c r="O67" s="9">
        <v>0.17299999999999999</v>
      </c>
      <c r="P67" s="2">
        <v>50459.75862935929</v>
      </c>
      <c r="Q67" s="9">
        <v>0.1908</v>
      </c>
      <c r="R67" s="2">
        <v>55651.571944981231</v>
      </c>
      <c r="S67" s="9">
        <v>3.0899999999999997E-2</v>
      </c>
      <c r="T67" s="2">
        <v>9012.7545759953882</v>
      </c>
      <c r="U67" s="9">
        <v>3.9800000000000002E-2</v>
      </c>
      <c r="V67" s="2">
        <v>11608.661233806359</v>
      </c>
    </row>
    <row r="68" spans="1:22" x14ac:dyDescent="0.55000000000000004">
      <c r="A68" t="s">
        <v>32</v>
      </c>
      <c r="B68" t="s">
        <v>163</v>
      </c>
      <c r="C68" t="s">
        <v>74</v>
      </c>
      <c r="E68" t="s">
        <v>162</v>
      </c>
      <c r="F68" s="2">
        <v>293840.4298199531</v>
      </c>
      <c r="G68" s="9">
        <v>8.7099999999999997E-2</v>
      </c>
      <c r="H68" s="2">
        <v>25593.501437317915</v>
      </c>
      <c r="I68" s="9">
        <v>0.109</v>
      </c>
      <c r="J68" s="2">
        <v>32028.606850374887</v>
      </c>
      <c r="K68" s="9">
        <v>0.19769999999999999</v>
      </c>
      <c r="L68" s="2">
        <v>58092.252975404728</v>
      </c>
      <c r="M68" s="9">
        <v>0.19700000000000001</v>
      </c>
      <c r="N68" s="2">
        <v>57886.56467453076</v>
      </c>
      <c r="O68" s="9">
        <v>0.16799999999999998</v>
      </c>
      <c r="P68" s="2">
        <v>49365.192209752116</v>
      </c>
      <c r="Q68" s="9">
        <v>0.19500000000000001</v>
      </c>
      <c r="R68" s="2">
        <v>57298.883814890854</v>
      </c>
      <c r="S68" s="9">
        <v>2.1599999999999998E-2</v>
      </c>
      <c r="T68" s="2">
        <v>6346.9532841109867</v>
      </c>
      <c r="U68" s="9">
        <v>2.46E-2</v>
      </c>
      <c r="V68" s="2">
        <v>7228.4745735708466</v>
      </c>
    </row>
    <row r="69" spans="1:22" x14ac:dyDescent="0.55000000000000004">
      <c r="A69" t="s">
        <v>32</v>
      </c>
      <c r="B69" t="s">
        <v>163</v>
      </c>
      <c r="C69" t="s">
        <v>75</v>
      </c>
      <c r="D69" t="s">
        <v>185</v>
      </c>
      <c r="E69" t="s">
        <v>164</v>
      </c>
      <c r="F69" s="2">
        <v>76632.799264030036</v>
      </c>
      <c r="G69" s="9">
        <v>9.5500000000000002E-2</v>
      </c>
      <c r="H69" s="2">
        <v>7318.4323297148685</v>
      </c>
      <c r="I69" s="9">
        <v>7.9600000000000004E-2</v>
      </c>
      <c r="J69" s="2">
        <v>6099.9708214167913</v>
      </c>
      <c r="K69" s="9">
        <v>0.20250000000000001</v>
      </c>
      <c r="L69" s="2">
        <v>15518.141850966083</v>
      </c>
      <c r="M69" s="9">
        <v>0.184</v>
      </c>
      <c r="N69" s="2">
        <v>14100.435064581527</v>
      </c>
      <c r="O69" s="9">
        <v>0.19400000000000001</v>
      </c>
      <c r="P69" s="2">
        <v>14866.763057221828</v>
      </c>
      <c r="Q69" s="9">
        <v>0.193</v>
      </c>
      <c r="R69" s="2">
        <v>14790.130257957797</v>
      </c>
      <c r="S69" s="9">
        <v>1.8300000000000004E-2</v>
      </c>
      <c r="T69" s="2">
        <v>1402.3802265317499</v>
      </c>
      <c r="U69" s="9">
        <v>3.3099999999999997E-2</v>
      </c>
      <c r="V69" s="2">
        <v>2536.5456556393942</v>
      </c>
    </row>
    <row r="70" spans="1:22" x14ac:dyDescent="0.55000000000000004">
      <c r="A70" t="s">
        <v>32</v>
      </c>
      <c r="B70" t="s">
        <v>163</v>
      </c>
      <c r="C70" t="s">
        <v>76</v>
      </c>
      <c r="E70" t="s">
        <v>165</v>
      </c>
      <c r="F70" s="2">
        <v>345947.90088488575</v>
      </c>
      <c r="G70" s="9">
        <v>0.13200000000000001</v>
      </c>
      <c r="H70" s="2">
        <v>45665.122916804918</v>
      </c>
      <c r="I70" s="9">
        <v>0.124</v>
      </c>
      <c r="J70" s="2">
        <v>42897.539709725832</v>
      </c>
      <c r="K70" s="9">
        <v>0.13500000000000001</v>
      </c>
      <c r="L70" s="2">
        <v>46702.966619459577</v>
      </c>
      <c r="M70" s="9">
        <v>0.1762</v>
      </c>
      <c r="N70" s="2">
        <v>60956.020135916864</v>
      </c>
      <c r="O70" s="9">
        <v>0.18799999999999997</v>
      </c>
      <c r="P70" s="2">
        <v>65038.20536635851</v>
      </c>
      <c r="Q70" s="9">
        <v>0.224</v>
      </c>
      <c r="R70" s="2">
        <v>77492.329798214414</v>
      </c>
      <c r="S70" s="9">
        <v>1.286E-2</v>
      </c>
      <c r="T70" s="2">
        <v>4448.8900053796306</v>
      </c>
      <c r="U70" s="9">
        <v>7.9399999999999991E-3</v>
      </c>
      <c r="V70" s="2">
        <v>2746.8263330259924</v>
      </c>
    </row>
    <row r="71" spans="1:22" x14ac:dyDescent="0.55000000000000004">
      <c r="A71" t="s">
        <v>34</v>
      </c>
      <c r="B71" t="s">
        <v>167</v>
      </c>
      <c r="C71" t="s">
        <v>77</v>
      </c>
      <c r="E71" t="s">
        <v>166</v>
      </c>
      <c r="F71" s="2">
        <v>138291.32889995869</v>
      </c>
      <c r="G71" s="9">
        <v>5.8999999999999997E-2</v>
      </c>
      <c r="H71" s="2">
        <v>8159.1884050975623</v>
      </c>
      <c r="I71" s="9">
        <v>8.5800000000000001E-2</v>
      </c>
      <c r="J71" s="2">
        <v>11865.396019616455</v>
      </c>
      <c r="K71" s="9">
        <v>0.17299999999999999</v>
      </c>
      <c r="L71" s="2">
        <v>23924.399899692853</v>
      </c>
      <c r="M71" s="9">
        <v>0.1835</v>
      </c>
      <c r="N71" s="2">
        <v>25376.45885314242</v>
      </c>
      <c r="O71" s="9">
        <v>0.18199999999999997</v>
      </c>
      <c r="P71" s="2">
        <v>25169.02185979248</v>
      </c>
      <c r="Q71" s="9">
        <v>0.22900000000000001</v>
      </c>
      <c r="R71" s="2">
        <v>31668.714318090544</v>
      </c>
      <c r="S71" s="9">
        <v>5.4100000000000002E-2</v>
      </c>
      <c r="T71" s="2">
        <v>7481.5608934877655</v>
      </c>
      <c r="U71" s="9">
        <v>3.3599999999999998E-2</v>
      </c>
      <c r="V71" s="2">
        <v>4646.5886510386117</v>
      </c>
    </row>
    <row r="72" spans="1:22" x14ac:dyDescent="0.55000000000000004">
      <c r="A72" t="s">
        <v>34</v>
      </c>
      <c r="B72" t="s">
        <v>167</v>
      </c>
      <c r="C72" t="s">
        <v>78</v>
      </c>
      <c r="E72" t="s">
        <v>168</v>
      </c>
      <c r="F72" s="2">
        <v>68543.863154908453</v>
      </c>
      <c r="G72" s="9">
        <v>8.8599999999999998E-2</v>
      </c>
      <c r="H72" s="2">
        <v>6072.9862755248887</v>
      </c>
      <c r="I72" s="9">
        <v>6.6000000000000003E-2</v>
      </c>
      <c r="J72" s="2">
        <v>4523.8949682239581</v>
      </c>
      <c r="K72" s="9">
        <v>0.20699999999999999</v>
      </c>
      <c r="L72" s="2">
        <v>14188.57967306605</v>
      </c>
      <c r="M72" s="9">
        <v>0.17100000000000001</v>
      </c>
      <c r="N72" s="2">
        <v>11721.000599489347</v>
      </c>
      <c r="O72" s="9">
        <v>0.223</v>
      </c>
      <c r="P72" s="2">
        <v>15285.281483544586</v>
      </c>
      <c r="Q72" s="9">
        <v>0.20499999999999999</v>
      </c>
      <c r="R72" s="2">
        <v>14051.491946756232</v>
      </c>
      <c r="S72" s="9">
        <v>1.7599999999999998E-2</v>
      </c>
      <c r="T72" s="2">
        <v>1206.3719915263887</v>
      </c>
      <c r="U72" s="9">
        <v>2.18E-2</v>
      </c>
      <c r="V72" s="2">
        <v>1494.2562167770043</v>
      </c>
    </row>
    <row r="73" spans="1:22" x14ac:dyDescent="0.55000000000000004">
      <c r="A73" t="s">
        <v>34</v>
      </c>
      <c r="B73" t="s">
        <v>167</v>
      </c>
      <c r="C73" t="s">
        <v>79</v>
      </c>
      <c r="E73" t="s">
        <v>169</v>
      </c>
      <c r="F73" s="2">
        <v>113863.56968791921</v>
      </c>
      <c r="G73" s="9">
        <v>9.9299999999999999E-2</v>
      </c>
      <c r="H73" s="2">
        <v>11306.652470010378</v>
      </c>
      <c r="I73" s="9">
        <v>8.4199999999999997E-2</v>
      </c>
      <c r="J73" s="2">
        <v>9587.3125677227981</v>
      </c>
      <c r="K73" s="9">
        <v>0.159</v>
      </c>
      <c r="L73" s="2">
        <v>18104.307580379154</v>
      </c>
      <c r="M73" s="9">
        <v>0.16769999999999999</v>
      </c>
      <c r="N73" s="2">
        <v>19094.92063666405</v>
      </c>
      <c r="O73" s="9">
        <v>0.188</v>
      </c>
      <c r="P73" s="2">
        <v>21406.351101328812</v>
      </c>
      <c r="Q73" s="9">
        <v>0.23899999999999999</v>
      </c>
      <c r="R73" s="2">
        <v>27213.39315541269</v>
      </c>
      <c r="S73" s="9">
        <v>1.8599999999999992E-2</v>
      </c>
      <c r="T73" s="2">
        <v>2117.8623961952962</v>
      </c>
      <c r="U73" s="9">
        <v>4.4200000000000003E-2</v>
      </c>
      <c r="V73" s="2">
        <v>5032.7697802060293</v>
      </c>
    </row>
    <row r="74" spans="1:22" x14ac:dyDescent="0.55000000000000004">
      <c r="A74" t="s">
        <v>34</v>
      </c>
      <c r="B74" t="s">
        <v>167</v>
      </c>
      <c r="C74" t="s">
        <v>80</v>
      </c>
      <c r="E74" t="s">
        <v>170</v>
      </c>
      <c r="F74" s="2">
        <v>103283.47218917139</v>
      </c>
      <c r="G74" s="9">
        <v>9.8799999999999999E-2</v>
      </c>
      <c r="H74" s="2">
        <v>10204.407052290133</v>
      </c>
      <c r="I74" s="9">
        <v>9.1200000000000003E-2</v>
      </c>
      <c r="J74" s="2">
        <v>9419.4526636524315</v>
      </c>
      <c r="K74" s="9">
        <v>0.15670000000000001</v>
      </c>
      <c r="L74" s="2">
        <v>16184.520092043156</v>
      </c>
      <c r="M74" s="9">
        <v>0.124</v>
      </c>
      <c r="N74" s="2">
        <v>12807.150551457251</v>
      </c>
      <c r="O74" s="9">
        <v>0.23500000000000001</v>
      </c>
      <c r="P74" s="2">
        <v>24271.615964455275</v>
      </c>
      <c r="Q74" s="9">
        <v>0.22800000000000001</v>
      </c>
      <c r="R74" s="2">
        <v>23548.631659131075</v>
      </c>
      <c r="S74" s="9">
        <v>3.6799999999999999E-2</v>
      </c>
      <c r="T74" s="2">
        <v>3800.831776561507</v>
      </c>
      <c r="U74" s="9">
        <v>2.9499999999999998E-2</v>
      </c>
      <c r="V74" s="2">
        <v>3046.8624295805557</v>
      </c>
    </row>
    <row r="75" spans="1:22" x14ac:dyDescent="0.55000000000000004">
      <c r="A75" t="s">
        <v>34</v>
      </c>
      <c r="B75" t="s">
        <v>167</v>
      </c>
      <c r="C75" t="s">
        <v>81</v>
      </c>
      <c r="E75" t="s">
        <v>171</v>
      </c>
      <c r="F75" s="2">
        <v>51413.101672391713</v>
      </c>
      <c r="G75" s="9">
        <v>9.4700000000000006E-2</v>
      </c>
      <c r="H75" s="2">
        <v>4868.8207283754955</v>
      </c>
      <c r="I75" s="9">
        <v>9.0800000000000006E-2</v>
      </c>
      <c r="J75" s="2">
        <v>4668.309631853168</v>
      </c>
      <c r="K75" s="9">
        <v>0.2175</v>
      </c>
      <c r="L75" s="2">
        <v>11182.349613745197</v>
      </c>
      <c r="M75" s="9">
        <v>0.16300000000000001</v>
      </c>
      <c r="N75" s="2">
        <v>8380.3355725998499</v>
      </c>
      <c r="O75" s="9">
        <v>0.19020000000000001</v>
      </c>
      <c r="P75" s="2">
        <v>9778.7719380889048</v>
      </c>
      <c r="Q75" s="9">
        <v>0.20499999999999999</v>
      </c>
      <c r="R75" s="2">
        <v>10539.685842840301</v>
      </c>
      <c r="S75" s="9">
        <v>1.54E-2</v>
      </c>
      <c r="T75" s="2">
        <v>791.76176575483237</v>
      </c>
      <c r="U75" s="9">
        <v>2.3400000000000001E-2</v>
      </c>
      <c r="V75" s="2">
        <v>1203.0665791339661</v>
      </c>
    </row>
    <row r="76" spans="1:22" x14ac:dyDescent="0.55000000000000004">
      <c r="A76" t="s">
        <v>34</v>
      </c>
      <c r="B76" t="s">
        <v>167</v>
      </c>
      <c r="C76" t="s">
        <v>82</v>
      </c>
      <c r="E76" t="s">
        <v>172</v>
      </c>
      <c r="F76" s="2">
        <v>77610.562314857845</v>
      </c>
      <c r="G76" s="9">
        <v>0.109</v>
      </c>
      <c r="H76" s="2">
        <v>8459.5512923195056</v>
      </c>
      <c r="I76" s="9">
        <v>0.08</v>
      </c>
      <c r="J76" s="2">
        <v>6208.844985188628</v>
      </c>
      <c r="K76" s="9">
        <v>0.19339999999999999</v>
      </c>
      <c r="L76" s="2">
        <v>15009.882751693507</v>
      </c>
      <c r="M76" s="9">
        <v>0.17499999999999999</v>
      </c>
      <c r="N76" s="2">
        <v>13581.848405100121</v>
      </c>
      <c r="O76" s="9">
        <v>0.17599999999999999</v>
      </c>
      <c r="P76" s="2">
        <v>13659.458967414979</v>
      </c>
      <c r="Q76" s="9">
        <v>0.19800000000000001</v>
      </c>
      <c r="R76" s="2">
        <v>15366.891338341855</v>
      </c>
      <c r="S76" s="9">
        <v>3.2999999999999995E-2</v>
      </c>
      <c r="T76" s="2">
        <v>2561.1485563903084</v>
      </c>
      <c r="U76" s="9">
        <v>3.56E-2</v>
      </c>
      <c r="V76" s="2">
        <v>2762.9360184089392</v>
      </c>
    </row>
    <row r="77" spans="1:22" x14ac:dyDescent="0.55000000000000004">
      <c r="A77" t="s">
        <v>34</v>
      </c>
      <c r="B77" t="s">
        <v>167</v>
      </c>
      <c r="C77" t="s">
        <v>83</v>
      </c>
      <c r="E77" t="s">
        <v>173</v>
      </c>
      <c r="F77" s="2">
        <v>61561</v>
      </c>
      <c r="G77" s="9">
        <v>6.0100000000000001E-2</v>
      </c>
      <c r="H77" s="2">
        <v>3699.8161</v>
      </c>
      <c r="I77" s="9">
        <v>5.8099999999999999E-2</v>
      </c>
      <c r="J77" s="2">
        <v>3576.6940999999997</v>
      </c>
      <c r="K77" s="9">
        <v>0.17600000000000002</v>
      </c>
      <c r="L77" s="2">
        <v>10834.736000000001</v>
      </c>
      <c r="M77" s="9">
        <v>0.14380000000000001</v>
      </c>
      <c r="N77" s="2">
        <v>8852.4718000000012</v>
      </c>
      <c r="O77" s="9">
        <v>0.22000000000000003</v>
      </c>
      <c r="P77" s="2">
        <v>13543.420000000002</v>
      </c>
      <c r="Q77" s="9">
        <v>0.31</v>
      </c>
      <c r="R77" s="2">
        <v>19083.91</v>
      </c>
      <c r="S77" s="9">
        <v>2.4460000000000003E-2</v>
      </c>
      <c r="T77" s="2">
        <v>1505.7820600000002</v>
      </c>
      <c r="U77" s="9">
        <v>7.5399999999999998E-3</v>
      </c>
      <c r="V77" s="2">
        <v>464.16994</v>
      </c>
    </row>
    <row r="78" spans="1:22" x14ac:dyDescent="0.55000000000000004">
      <c r="A78" t="s">
        <v>34</v>
      </c>
      <c r="B78" t="s">
        <v>167</v>
      </c>
      <c r="C78" t="s">
        <v>84</v>
      </c>
      <c r="E78" t="s">
        <v>174</v>
      </c>
      <c r="F78" s="2">
        <v>86369.579791689393</v>
      </c>
      <c r="G78" s="9">
        <v>9.4200000000000006E-2</v>
      </c>
      <c r="H78" s="2">
        <v>8136.0144163771411</v>
      </c>
      <c r="I78" s="9">
        <v>0.113</v>
      </c>
      <c r="J78" s="2">
        <v>9759.7625164609017</v>
      </c>
      <c r="K78" s="9">
        <v>0.1709</v>
      </c>
      <c r="L78" s="2">
        <v>14760.561186399716</v>
      </c>
      <c r="M78" s="9">
        <v>0.16400000000000001</v>
      </c>
      <c r="N78" s="2">
        <v>14164.611085837061</v>
      </c>
      <c r="O78" s="9">
        <v>0.17900000000000002</v>
      </c>
      <c r="P78" s="2">
        <v>15460.154782712403</v>
      </c>
      <c r="Q78" s="9">
        <v>0.216</v>
      </c>
      <c r="R78" s="2">
        <v>18655.829235004909</v>
      </c>
      <c r="S78" s="9">
        <v>3.8399999999999997E-2</v>
      </c>
      <c r="T78" s="2">
        <v>3316.5918640008722</v>
      </c>
      <c r="U78" s="9">
        <v>2.4500000000000001E-2</v>
      </c>
      <c r="V78" s="2">
        <v>2116.0547048963904</v>
      </c>
    </row>
    <row r="79" spans="1:22" x14ac:dyDescent="0.55000000000000004">
      <c r="A79" t="s">
        <v>34</v>
      </c>
      <c r="B79" t="s">
        <v>167</v>
      </c>
      <c r="C79" t="s">
        <v>85</v>
      </c>
      <c r="E79" t="s">
        <v>175</v>
      </c>
      <c r="F79" s="2">
        <v>122912.92702374156</v>
      </c>
      <c r="G79" s="9">
        <v>0.1166</v>
      </c>
      <c r="H79" s="2">
        <v>14331.647290968265</v>
      </c>
      <c r="I79" s="9">
        <v>0.105</v>
      </c>
      <c r="J79" s="2">
        <v>12905.857337492864</v>
      </c>
      <c r="K79" s="9">
        <v>0.13800000000000001</v>
      </c>
      <c r="L79" s="2">
        <v>16961.983929276335</v>
      </c>
      <c r="M79" s="9">
        <v>0.16300000000000001</v>
      </c>
      <c r="N79" s="2">
        <v>20034.807104869877</v>
      </c>
      <c r="O79" s="9">
        <v>0.20300000000000001</v>
      </c>
      <c r="P79" s="2">
        <v>24951.32418581954</v>
      </c>
      <c r="Q79" s="9">
        <v>0.23599999999999999</v>
      </c>
      <c r="R79" s="2">
        <v>29007.450777603008</v>
      </c>
      <c r="S79" s="9">
        <v>1.7399999999999995E-2</v>
      </c>
      <c r="T79" s="2">
        <v>2138.6849302131027</v>
      </c>
      <c r="U79" s="9">
        <v>2.1000000000000001E-2</v>
      </c>
      <c r="V79" s="2">
        <v>2581.1714674985728</v>
      </c>
    </row>
    <row r="80" spans="1:22" x14ac:dyDescent="0.55000000000000004">
      <c r="A80" t="s">
        <v>34</v>
      </c>
      <c r="B80" t="s">
        <v>167</v>
      </c>
      <c r="C80" t="s">
        <v>86</v>
      </c>
      <c r="E80" t="s">
        <v>176</v>
      </c>
      <c r="F80" s="2">
        <v>173971.84406372416</v>
      </c>
      <c r="G80" s="9">
        <v>0.1021</v>
      </c>
      <c r="H80" s="2">
        <v>17762.525278906236</v>
      </c>
      <c r="I80" s="9">
        <v>0.10199999999999999</v>
      </c>
      <c r="J80" s="2">
        <v>17745.128094499862</v>
      </c>
      <c r="K80" s="9">
        <v>0.17</v>
      </c>
      <c r="L80" s="2">
        <v>29575.21349083311</v>
      </c>
      <c r="M80" s="9">
        <v>0.14599999999999999</v>
      </c>
      <c r="N80" s="2">
        <v>25399.889233303726</v>
      </c>
      <c r="O80" s="9">
        <v>0.223</v>
      </c>
      <c r="P80" s="2">
        <v>38795.721226210488</v>
      </c>
      <c r="Q80" s="9">
        <v>0.224</v>
      </c>
      <c r="R80" s="2">
        <v>38969.69307027421</v>
      </c>
      <c r="S80" s="9">
        <v>1.32E-2</v>
      </c>
      <c r="T80" s="2">
        <v>2296.428341641159</v>
      </c>
      <c r="U80" s="9">
        <v>1.9699999999999999E-2</v>
      </c>
      <c r="V80" s="2">
        <v>3427.2453280553659</v>
      </c>
    </row>
    <row r="81" spans="1:22" x14ac:dyDescent="0.55000000000000004">
      <c r="F81" s="3">
        <f>SUM(Table2[Population - 2025])</f>
        <v>13442554.284632444</v>
      </c>
      <c r="G81" s="10">
        <v>9.6403846153846173E-2</v>
      </c>
      <c r="H81" s="11">
        <v>1295913.9351704319</v>
      </c>
      <c r="I81" s="10">
        <v>8.8341025641025653E-2</v>
      </c>
      <c r="J81" s="11">
        <v>1187529.0327395941</v>
      </c>
      <c r="K81" s="10">
        <v>0.17685641025641027</v>
      </c>
      <c r="L81" s="11">
        <v>2377401.8954570214</v>
      </c>
      <c r="M81" s="10">
        <v>0.17364743589743584</v>
      </c>
      <c r="N81" s="11">
        <v>2334265.0834385138</v>
      </c>
      <c r="O81" s="10">
        <v>0.19006538461538464</v>
      </c>
      <c r="P81" s="11">
        <v>2554964.250321852</v>
      </c>
      <c r="Q81" s="10">
        <v>0.20172948717948719</v>
      </c>
      <c r="R81" s="11">
        <v>2711759.5822213213</v>
      </c>
      <c r="S81" s="10">
        <v>3.4043205128205127E-2</v>
      </c>
      <c r="T81" s="11">
        <v>457627.63295877504</v>
      </c>
      <c r="U81" s="10">
        <v>3.8913205128205133E-2</v>
      </c>
      <c r="V81" s="11">
        <v>523092.8723249351</v>
      </c>
    </row>
    <row r="82" spans="1:22" x14ac:dyDescent="0.55000000000000004">
      <c r="A82" s="1"/>
    </row>
  </sheetData>
  <phoneticPr fontId="3" type="noConversion"/>
  <conditionalFormatting sqref="G1:R1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S1:V1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scale="50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1449A-8722-4D7C-B7AB-6BCA7C77295F}">
  <dimension ref="A3:B15"/>
  <sheetViews>
    <sheetView workbookViewId="0">
      <selection activeCell="E10" sqref="E10"/>
    </sheetView>
  </sheetViews>
  <sheetFormatPr defaultRowHeight="14.4" x14ac:dyDescent="0.55000000000000004"/>
  <cols>
    <col min="1" max="1" width="22.68359375" bestFit="1" customWidth="1"/>
    <col min="2" max="2" width="21.3671875" bestFit="1" customWidth="1"/>
  </cols>
  <sheetData>
    <row r="3" spans="1:2" x14ac:dyDescent="0.55000000000000004">
      <c r="A3" s="4" t="s">
        <v>191</v>
      </c>
      <c r="B3" s="5" t="s">
        <v>190</v>
      </c>
    </row>
    <row r="4" spans="1:2" x14ac:dyDescent="0.55000000000000004">
      <c r="A4" s="6" t="s">
        <v>0</v>
      </c>
      <c r="B4" s="7">
        <v>145358</v>
      </c>
    </row>
    <row r="5" spans="1:2" x14ac:dyDescent="0.55000000000000004">
      <c r="A5" s="6" t="s">
        <v>1</v>
      </c>
      <c r="B5" s="7">
        <v>1678969.7520777485</v>
      </c>
    </row>
    <row r="6" spans="1:2" x14ac:dyDescent="0.55000000000000004">
      <c r="A6" s="6" t="s">
        <v>8</v>
      </c>
      <c r="B6" s="7">
        <v>1206088.3959870432</v>
      </c>
    </row>
    <row r="7" spans="1:2" x14ac:dyDescent="0.55000000000000004">
      <c r="A7" s="6" t="s">
        <v>17</v>
      </c>
      <c r="B7" s="7">
        <v>2138577.8061454189</v>
      </c>
    </row>
    <row r="8" spans="1:2" x14ac:dyDescent="0.55000000000000004">
      <c r="A8" s="6" t="s">
        <v>22</v>
      </c>
      <c r="B8" s="7">
        <v>1251317.8931699602</v>
      </c>
    </row>
    <row r="9" spans="1:2" x14ac:dyDescent="0.55000000000000004">
      <c r="A9" s="6" t="s">
        <v>24</v>
      </c>
      <c r="B9" s="7">
        <v>1035433.9499753123</v>
      </c>
    </row>
    <row r="10" spans="1:2" x14ac:dyDescent="0.55000000000000004">
      <c r="A10" s="6" t="s">
        <v>26</v>
      </c>
      <c r="B10" s="7">
        <v>1212629.3677277463</v>
      </c>
    </row>
    <row r="11" spans="1:2" x14ac:dyDescent="0.55000000000000004">
      <c r="A11" s="6" t="s">
        <v>28</v>
      </c>
      <c r="B11" s="7">
        <v>1692780.990204768</v>
      </c>
    </row>
    <row r="12" spans="1:2" x14ac:dyDescent="0.55000000000000004">
      <c r="A12" s="6" t="s">
        <v>30</v>
      </c>
      <c r="B12" s="7">
        <v>1367155.7505772151</v>
      </c>
    </row>
    <row r="13" spans="1:2" x14ac:dyDescent="0.55000000000000004">
      <c r="A13" s="6" t="s">
        <v>32</v>
      </c>
      <c r="B13" s="7">
        <v>716421.1299688688</v>
      </c>
    </row>
    <row r="14" spans="1:2" x14ac:dyDescent="0.55000000000000004">
      <c r="A14" s="6" t="s">
        <v>34</v>
      </c>
      <c r="B14" s="7">
        <v>997821.24879836245</v>
      </c>
    </row>
    <row r="15" spans="1:2" x14ac:dyDescent="0.55000000000000004">
      <c r="A15" s="6" t="s">
        <v>15</v>
      </c>
      <c r="B15" s="7">
        <v>13442554.284632444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40ac51-71b3-4ca7-b29a-51e094fcbd50">
      <Terms xmlns="http://schemas.microsoft.com/office/infopath/2007/PartnerControls"/>
    </lcf76f155ced4ddcb4097134ff3c332f>
    <TaxCatchAll xmlns="985ec44e-1bab-4c0b-9df0-6ba128686fc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1C3DF54ADCD342B131423FB6C51DAB" ma:contentTypeVersion="25" ma:contentTypeDescription="Create a new document." ma:contentTypeScope="" ma:versionID="25610a1028242f14c365308e965cbf8f">
  <xsd:schema xmlns:xsd="http://www.w3.org/2001/XMLSchema" xmlns:xs="http://www.w3.org/2001/XMLSchema" xmlns:p="http://schemas.microsoft.com/office/2006/metadata/properties" xmlns:ns2="1840ac51-71b3-4ca7-b29a-51e094fcbd50" xmlns:ns3="3bd395f5-4b1d-4ca2-be1f-14a7162cfbfe" xmlns:ns4="985ec44e-1bab-4c0b-9df0-6ba128686fc9" targetNamespace="http://schemas.microsoft.com/office/2006/metadata/properties" ma:root="true" ma:fieldsID="bb18c7eb7c08825961e276d904037fdd" ns2:_="" ns3:_="" ns4:_="">
    <xsd:import namespace="1840ac51-71b3-4ca7-b29a-51e094fcbd50"/>
    <xsd:import namespace="3bd395f5-4b1d-4ca2-be1f-14a7162cfbfe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40ac51-71b3-4ca7-b29a-51e094fcbd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d395f5-4b1d-4ca2-be1f-14a7162cfbf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e4436e9f-e599-409a-bb30-0a0ebcf17349}" ma:internalName="TaxCatchAll" ma:showField="CatchAllData" ma:web="3bd395f5-4b1d-4ca2-be1f-14a7162cfb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363DFF-248E-49C7-808B-D7EE951CB592}">
  <ds:schemaRefs>
    <ds:schemaRef ds:uri="http://schemas.microsoft.com/office/2006/metadata/properties"/>
    <ds:schemaRef ds:uri="http://schemas.microsoft.com/office/infopath/2007/PartnerControls"/>
    <ds:schemaRef ds:uri="1840ac51-71b3-4ca7-b29a-51e094fcbd50"/>
    <ds:schemaRef ds:uri="985ec44e-1bab-4c0b-9df0-6ba128686fc9"/>
  </ds:schemaRefs>
</ds:datastoreItem>
</file>

<file path=customXml/itemProps2.xml><?xml version="1.0" encoding="utf-8"?>
<ds:datastoreItem xmlns:ds="http://schemas.openxmlformats.org/officeDocument/2006/customXml" ds:itemID="{19FF2FB6-1CC8-4342-9B25-8F6BA02045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40ac51-71b3-4ca7-b29a-51e094fcbd50"/>
    <ds:schemaRef ds:uri="3bd395f5-4b1d-4ca2-be1f-14a7162cfbfe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E499C6-6E1A-4E54-A9DA-1D2521E9C8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Pop_Stats_Summary</vt:lpstr>
      <vt:lpstr>State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Ad Abeya</dc:creator>
  <cp:lastModifiedBy>Joseph Ad Abeya</cp:lastModifiedBy>
  <cp:lastPrinted>2023-07-21T14:37:38Z</cp:lastPrinted>
  <dcterms:created xsi:type="dcterms:W3CDTF">2023-06-01T13:33:34Z</dcterms:created>
  <dcterms:modified xsi:type="dcterms:W3CDTF">2024-12-19T11:46:01Z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0x0101009D1C3DF54ADCD342B131423FB6C51DAB</vt:lpwstr>
  </property>
</Properties>
</file>